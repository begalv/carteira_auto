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teir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Vendas" sheetId="3" state="visible" r:id="rId3"/>
  </sheets>
  <definedNames>
    <definedName name="_xlnm._FilterDatabase" localSheetId="0" hidden="1">'Carteira'!$A$1:$W$1000</definedName>
  </definedNames>
  <calcPr calcId="124519" fullCalcOnLoad="1"/>
  <pivotCaches>
    <pivotCache xmlns:r="http://schemas.openxmlformats.org/officeDocument/2006/relationships" cacheId="0" r:id="rId4"/>
  </pivotCaches>
</workbook>
</file>

<file path=xl/styles.xml><?xml version="1.0" encoding="utf-8"?>
<styleSheet xmlns="http://schemas.openxmlformats.org/spreadsheetml/2006/main">
  <numFmts count="3">
    <numFmt numFmtId="164" formatCode="&quot;R$&quot;\ #,##0.00"/>
    <numFmt numFmtId="165" formatCode="&quot;R$&quot;\ #,##0;[Red]\-&quot;R$&quot;\ #,##0"/>
    <numFmt numFmtId="166" formatCode="&quot;R$&quot;\ #,##0.00;[Red]\-&quot;R$&quot;\ #,##0.00"/>
  </numFmts>
  <fonts count="13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ptos Narrow"/>
      <b val="1"/>
      <color rgb="FF000000"/>
      <sz val="11"/>
    </font>
    <font>
      <name val="Aptos Narrow"/>
      <color theme="1"/>
    </font>
    <font>
      <name val="Aptos Narrow"/>
      <color theme="1"/>
      <sz val="11"/>
    </font>
    <font>
      <name val="Arial"/>
      <color theme="1"/>
      <sz val="11"/>
    </font>
    <font>
      <name val="Aptos Narrow"/>
      <color theme="9"/>
      <sz val="11"/>
    </font>
    <font>
      <name val="Arial"/>
      <color theme="1"/>
    </font>
    <font>
      <name val="Arial"/>
      <b val="1"/>
      <color theme="1"/>
      <sz val="11"/>
    </font>
    <font>
      <name val="Aptos Narrow"/>
      <color rgb="FF000000"/>
      <sz val="11"/>
    </font>
    <font>
      <name val="Aptos Narrow"/>
      <b val="1"/>
      <color theme="9"/>
      <sz val="11"/>
    </font>
    <font>
      <name val="Aptos Narrow"/>
      <color theme="1"/>
      <sz val="11"/>
      <u val="single"/>
    </font>
    <font>
      <name val="Aptos Narrow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DBE9F7"/>
        <bgColor rgb="FFDBE9F7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numFmtId="0" fontId="0" fillId="0" borderId="0"/>
  </cellStyleXfs>
  <cellXfs count="9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" fontId="1" fillId="2" borderId="4" applyAlignment="1" pivotButton="0" quotePrefix="0" xfId="0">
      <alignment horizontal="center" vertical="center" wrapText="1"/>
    </xf>
    <xf numFmtId="1" fontId="1" fillId="2" borderId="2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10" fontId="1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10" fontId="4" fillId="0" borderId="5" pivotButton="0" quotePrefix="0" xfId="0"/>
    <xf numFmtId="166" fontId="4" fillId="0" borderId="0" pivotButton="0" quotePrefix="0" xfId="0"/>
    <xf numFmtId="164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166" fontId="1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5" fillId="0" borderId="0" pivotButton="0" quotePrefix="0" xfId="0"/>
    <xf numFmtId="1" fontId="5" fillId="0" borderId="0" pivotButton="0" quotePrefix="0" xfId="0"/>
    <xf numFmtId="164" fontId="5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1" xfId="0">
      <alignment horizontal="center" vertical="center"/>
    </xf>
    <xf numFmtId="0" fontId="1" fillId="2" borderId="1" pivotButton="0" quotePrefix="1" xfId="0"/>
    <xf numFmtId="0" fontId="1" fillId="2" borderId="1" applyAlignment="1" pivotButton="0" quotePrefix="1" xfId="0">
      <alignment horizontal="center" vertical="center" wrapText="1"/>
    </xf>
    <xf numFmtId="10" fontId="1" fillId="2" borderId="1" pivotButton="0" quotePrefix="0" xfId="0"/>
    <xf numFmtId="166" fontId="1" fillId="2" borderId="1" pivotButton="0" quotePrefix="0" xfId="0"/>
    <xf numFmtId="166" fontId="4" fillId="2" borderId="1" pivotButton="0" quotePrefix="0" xfId="0"/>
    <xf numFmtId="166" fontId="10" fillId="2" borderId="1" pivotButton="0" quotePrefix="0" xfId="0"/>
    <xf numFmtId="10" fontId="10" fillId="2" borderId="1" pivotButton="0" quotePrefix="0" xfId="0"/>
    <xf numFmtId="166" fontId="6" fillId="2" borderId="1" pivotButton="0" quotePrefix="0" xfId="0"/>
    <xf numFmtId="10" fontId="4" fillId="2" borderId="1" pivotButton="0" quotePrefix="0" xfId="0"/>
    <xf numFmtId="164" fontId="1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0" fillId="0" borderId="0" pivotButton="0" quotePrefix="0" xfId="0"/>
    <xf numFmtId="10" fontId="1" fillId="0" borderId="5" pivotButton="0" quotePrefix="0" xfId="0"/>
    <xf numFmtId="0" fontId="11" fillId="0" borderId="0" pivotButton="0" quotePrefix="0" xfId="0"/>
    <xf numFmtId="10" fontId="10" fillId="0" borderId="0" pivotButton="0" quotePrefix="0" xfId="0"/>
    <xf numFmtId="0" fontId="12" fillId="0" borderId="0" pivotButton="0" quotePrefix="0" xfId="0"/>
    <xf numFmtId="10" fontId="12" fillId="0" borderId="0" pivotButton="0" quotePrefix="0" xfId="0"/>
    <xf numFmtId="166" fontId="12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1" fontId="1" fillId="2" borderId="7" applyAlignment="1" pivotButton="0" quotePrefix="0" xfId="0">
      <alignment horizontal="center" vertical="center" wrapText="1"/>
    </xf>
    <xf numFmtId="164" fontId="1" fillId="2" borderId="6" applyAlignment="1" pivotButton="0" quotePrefix="0" xfId="0">
      <alignment horizontal="center" vertical="center" wrapText="1"/>
    </xf>
    <xf numFmtId="1" fontId="1" fillId="2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0" fontId="4" fillId="0" borderId="10" pivotButton="0" quotePrefix="0" xfId="0"/>
    <xf numFmtId="165" fontId="1" fillId="0" borderId="10" pivotButton="0" quotePrefix="0" xfId="0"/>
    <xf numFmtId="165" fontId="4" fillId="0" borderId="10" pivotButton="0" quotePrefix="0" xfId="0"/>
    <xf numFmtId="165" fontId="6" fillId="0" borderId="10" pivotButton="0" quotePrefix="0" xfId="0"/>
    <xf numFmtId="164" fontId="4" fillId="0" borderId="10" pivotButton="0" quotePrefix="0" xfId="0"/>
    <xf numFmtId="1" fontId="4" fillId="0" borderId="10" pivotButton="0" quotePrefix="0" xfId="0"/>
    <xf numFmtId="0" fontId="4" fillId="0" borderId="11" pivotButton="0" quotePrefix="0" xfId="0"/>
    <xf numFmtId="0" fontId="1" fillId="0" borderId="12" applyAlignment="1" pivotButton="0" quotePrefix="0" xfId="0">
      <alignment horizontal="left" vertical="center"/>
    </xf>
    <xf numFmtId="165" fontId="1" fillId="0" borderId="0" pivotButton="0" quotePrefix="0" xfId="0"/>
    <xf numFmtId="165" fontId="6" fillId="0" borderId="0" pivotButton="0" quotePrefix="0" xfId="0"/>
    <xf numFmtId="0" fontId="4" fillId="0" borderId="13" pivotButton="0" quotePrefix="0" xfId="0"/>
    <xf numFmtId="0" fontId="1" fillId="0" borderId="12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4" fillId="0" borderId="15" pivotButton="0" quotePrefix="0" xfId="0"/>
    <xf numFmtId="165" fontId="1" fillId="0" borderId="15" pivotButton="0" quotePrefix="0" xfId="0"/>
    <xf numFmtId="165" fontId="4" fillId="0" borderId="15" pivotButton="0" quotePrefix="0" xfId="0"/>
    <xf numFmtId="165" fontId="6" fillId="0" borderId="15" pivotButton="0" quotePrefix="0" xfId="0"/>
    <xf numFmtId="10" fontId="4" fillId="0" borderId="16" pivotButton="0" quotePrefix="0" xfId="0"/>
    <xf numFmtId="164" fontId="4" fillId="0" borderId="15" pivotButton="0" quotePrefix="0" xfId="0"/>
    <xf numFmtId="1" fontId="4" fillId="0" borderId="15" pivotButton="0" quotePrefix="0" xfId="0"/>
    <xf numFmtId="0" fontId="4" fillId="0" borderId="17" pivotButton="0" quotePrefix="0" xfId="0"/>
    <xf numFmtId="0" fontId="1" fillId="2" borderId="18" applyAlignment="1" pivotButton="0" quotePrefix="0" xfId="0">
      <alignment horizontal="center" vertical="center"/>
    </xf>
    <xf numFmtId="0" fontId="1" fillId="2" borderId="19" applyAlignment="1" pivotButton="0" quotePrefix="1" xfId="0">
      <alignment horizontal="center" vertical="center"/>
    </xf>
    <xf numFmtId="165" fontId="1" fillId="2" borderId="18" pivotButton="0" quotePrefix="0" xfId="0"/>
    <xf numFmtId="165" fontId="10" fillId="2" borderId="2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>
        <color rgb="FF275317"/>
      </font>
      <fill>
        <patternFill patternType="solid">
          <fgColor rgb="FF8ED873"/>
          <bgColor rgb="FF8ED873"/>
        </patternFill>
      </fill>
      <border/>
    </dxf>
    <dxf>
      <font>
        <color rgb="FF275317"/>
      </font>
      <fill>
        <patternFill patternType="solid">
          <fgColor rgb="FFB3E5A1"/>
          <bgColor rgb="FFB3E5A1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W42" sheet="Carteira"/>
  </cacheSource>
  <cacheFields count="23">
    <cacheField name="Fator" uniqueList="1" numFmtId="0" sqlType="0" hierarchy="0" level="0" databaseField="1">
      <sharedItems count="13" containsBlank="1">
        <s v="CAIXA (CRÉDITO PÚBLICO)"/>
        <s v="FI-INFRA (CRÉDITO PRIVADO ISENTO)"/>
        <s v="FII (RENDA URBANA)"/>
        <s v="FIAGRO (RENDA TERRA)"/>
        <s v="AÇÕES - VALOR"/>
        <s v="AÇÕES - QUALIDADE"/>
        <s v="AÇÕES - COMMODITY"/>
        <s v="AÇÕES - UTILIDADE"/>
        <s v="AÇÕES - SMALL CAP"/>
        <s v="INTERNACIONAL"/>
        <s v="CONVEXIDADE"/>
        <s v="TOTAL"/>
        <m/>
      </sharedItems>
    </cacheField>
    <cacheField name="Ticker" uniqueList="1" numFmtId="0" sqlType="0" hierarchy="0" level="0" databaseField="1">
      <sharedItems count="39" containsBlank="1">
        <s v="LFT"/>
        <s v="B5P211"/>
        <s v="IMAB11"/>
        <s v="JURO11"/>
        <s v="KDIF11"/>
        <s v="BTLG11"/>
        <s v="HGLG11"/>
        <s v="XPML11"/>
        <s v="KNCR11"/>
        <s v="CPTS11"/>
        <s v="RZTR11"/>
        <s v="KNCA11"/>
        <s v="UGPA3"/>
        <s v="LREN3"/>
        <s v="ITSA4"/>
        <s v="FLRY3"/>
        <s v="VIVA3"/>
        <s v="VALE3"/>
        <s v="PETR4"/>
        <s v="SUZB3"/>
        <s v="TIMS3"/>
        <s v="MOTV3"/>
        <s v="CMIG4"/>
        <s v="AXIA7"/>
        <s v="AXIA3"/>
        <s v="SAPR11"/>
        <s v="POMO4"/>
        <s v="INTB3"/>
        <s v="DIRR3"/>
        <s v="IVVB11"/>
        <s v="USDB11"/>
        <s v="DOLA11"/>
        <s v="XINA11"/>
        <s v="ROXO34"/>
        <s v="HASH11"/>
        <s v="BSLV39"/>
        <s v="GOLD11"/>
        <s v="-"/>
        <m/>
      </sharedItems>
    </cacheField>
    <cacheField name="Nome do Ativo / Gestora" uniqueList="1" numFmtId="0" sqlType="0" hierarchy="0" level="0" databaseField="1">
      <sharedItems count="38" containsBlank="1">
        <s v="Tesouro Selic 2027/29"/>
        <s v="ETF IMA-B5 P2 (Itaú)"/>
        <s v="ETF IMA-B (Itaú)"/>
        <s v="Sparta Infraestrutura"/>
        <s v="Kinea Infra"/>
        <s v="BTG Pactual Logística"/>
        <s v="CGHG Logística"/>
        <s v="XP Malls (Shoppings)"/>
        <s v="Kinea Rendimentos (CDI)"/>
        <s v="Capitânia Securities (IPCA)"/>
        <s v="Riza Terrax (Terras)"/>
        <s v="Kinea Crédito Agro"/>
        <s v="Ultrapar Participações S.A."/>
        <s v="Lojas Renner"/>
        <s v="Itaúsa"/>
        <s v="Fleury S.A."/>
        <s v="Vivara Participacoes S.A."/>
        <s v="Vale"/>
        <s v="Petrobras"/>
        <s v="Suzano Papel e Celulose"/>
        <s v="Tim Brasil"/>
        <s v="Motiva"/>
        <s v="Companhia Energética de Minas Gerais"/>
        <s v="Centrais Eletricas Brasilrs SA - Eltrbrs"/>
        <s v="Sanepar - Companhia de Água e Esgotos do Paraná"/>
        <s v="Marcopolo S.A."/>
        <s v="Intelbras"/>
        <s v="Direcional Engenharia S.A."/>
        <s v="iShares S&amp;P 500"/>
        <s v="INVESTO BLOOMBERG US BOND ETF"/>
        <s v="BB ETF INDICE FUTURO DE DOLAR S&amp;P/B3 FDI"/>
        <s v="Trend MSCI China"/>
        <s v="Nubank BDR"/>
        <s v="Nasdaq Crypto Index"/>
        <s v="Ishares Silver Trust Bdr"/>
        <s v="Trend Ouro"/>
        <s v="-"/>
        <m/>
      </sharedItems>
    </cacheField>
    <cacheField name="Classe" uniqueList="1" numFmtId="0" sqlType="0" hierarchy="0" level="0" databaseField="1">
      <sharedItems count="6" containsBlank="1">
        <s v="Renda Fixa"/>
        <s v="Fundos de Investimentos"/>
        <s v="Ações"/>
        <s v="Internacional"/>
        <s v="-"/>
        <m/>
      </sharedItems>
    </cacheField>
    <cacheField name="Setor" uniqueList="1" numFmtId="0" sqlType="0" hierarchy="0" level="0" databaseField="1">
      <sharedItems count="18" containsBlank="1">
        <s v="Dívida Pública"/>
        <s v="Infraestrutura"/>
        <s v="Imobiliário"/>
        <s v="Agrícola"/>
        <s v="Consumo Cíclico"/>
        <s v="Financeiro"/>
        <s v="Utilidade Pública"/>
        <s v="Materiais Básicos"/>
        <s v="Petróleo, Gás e Biocombustíveis"/>
        <s v="Bens Industriais"/>
        <s v="Tecnologia da Informação"/>
        <s v="Consumo Duráveis"/>
        <s v="Global Quality &amp; Tech"/>
        <s v="Moeda"/>
        <s v="Criptomoedas"/>
        <s v="Commodities"/>
        <s v="-"/>
        <m/>
      </sharedItems>
    </cacheField>
    <cacheField name="Subsetor" uniqueList="1" numFmtId="0" sqlType="0" hierarchy="0" level="0" databaseField="1">
      <sharedItems count="29" containsBlank="1">
        <s v="Juros (Selic)"/>
        <s v="Inflação (IPCA)"/>
        <s v="Debêntures Incentivadas"/>
        <s v="Galpões Logísticos"/>
        <s v="Shoppings"/>
        <s v="Dívida Imobiliária (CRIs)"/>
        <s v="Terra"/>
        <s v="Dívida Agrícola (CRAs)"/>
        <s v="Comércio"/>
        <s v="Financeiro"/>
        <s v="Saúde"/>
        <s v="Mineração"/>
        <s v="Petróleo. Gás e Biocombustíveis"/>
        <s v="Madeira e Papel"/>
        <s v="Telecomunicações"/>
        <s v="Transporte"/>
        <s v="Energia Elétrica"/>
        <s v="Água e Saneamento"/>
        <s v="Material de Transporte"/>
        <s v="Computadores e Equipamentos"/>
        <s v="Construção Civil"/>
        <s v="índice"/>
        <s v="Juros (EUA)"/>
        <s v="Dólar"/>
        <s v="BTC + ETH"/>
        <s v="Prata"/>
        <s v="Ouro"/>
        <s v="-"/>
        <m/>
      </sharedItems>
    </cacheField>
    <cacheField name="Segmento" uniqueList="1" numFmtId="0" sqlType="0" hierarchy="0" level="0" databaseField="1">
      <sharedItems count="30" containsBlank="1">
        <s v="Juros (Selic)"/>
        <s v="Inflação (IPCA) 5 anos"/>
        <s v="Inflação (IPCA)"/>
        <s v="Galpões Logísticos"/>
        <s v="Shoppings"/>
        <s v="Terra Agrícola (soja)"/>
        <s v="Petróleo, Gás e Biocombustíveis"/>
        <s v="Tecidos. Vestuário e Calçados"/>
        <s v="Holdings Diversificadas"/>
        <s v="Serv.Méd.Hospit..Análises e Diagnósticos"/>
        <s v="Minerais Metálicos"/>
        <s v="Exploração. Refino e Distribuição"/>
        <s v="Papel e Celulose"/>
        <s v="Telecomunicações"/>
        <s v="Exploração de Rodovias"/>
        <s v="Energia Elétrica"/>
        <s v="Água e Saneamento"/>
        <s v="Material Rodoviário"/>
        <s v="Computadores e Equipamentos"/>
        <s v="Incorporações"/>
        <s v="S&amp;P 500"/>
        <s v="Juros (EUA)"/>
        <s v="Dólar"/>
        <s v="MSCI China"/>
        <s v="Banco"/>
        <s v="BTC + ETH"/>
        <s v="Prata"/>
        <s v="Ouro"/>
        <s v="-"/>
        <m/>
      </sharedItems>
    </cacheField>
    <cacheField name="% Meta" uniqueList="1" numFmtId="0" sqlType="0" hierarchy="0" level="0" databaseField="1">
      <sharedItems count="2" containsBlank="1">
        <m/>
        <s v="-"/>
      </sharedItems>
    </cacheField>
    <cacheField name="Valor Meta (R$)" uniqueList="1" numFmtId="0" sqlType="0" hierarchy="0" level="0" databaseField="1">
      <sharedItems count="2" containsBlank="1">
        <m/>
        <s v="-"/>
      </sharedItems>
    </cacheField>
    <cacheField name="% Atual" uniqueList="1" numFmtId="10" sqlType="0" hierarchy="0" level="0" databaseField="1">
      <sharedItems count="3" containsBlank="1" containsInteger="1" containsNumber="1" containsString="0">
        <n v="1"/>
        <n v="0"/>
        <m/>
      </sharedItems>
    </cacheField>
    <cacheField name="% Inicial" uniqueList="1" sqlType="0" hierarchy="0" level="0" databaseField="1">
      <sharedItems count="39" containsBlank="1" containsMixedTypes="1" containsNumber="1">
        <n v="0.1414362661602108"/>
        <n v="0.1105048175580677"/>
        <n v="0.02224692551972658"/>
        <n v="0.02398186089340212"/>
        <n v="0.03000233387740879"/>
        <n v="0.01955041537503512"/>
        <n v="0.02966550679715982"/>
        <n v="0.02983889754438082"/>
        <n v="0.02856484072782716"/>
        <n v="0.01931156353447952"/>
        <n v="0.0293841322959753"/>
        <n v="0.039349691104896"/>
        <n v="0.01904593215574158"/>
        <n v="0.01559434723446246"/>
        <n v="0.01805590074415211"/>
        <n v="0.007018511207012262"/>
        <n v="0.02097676390602171"/>
        <n v="0.03847786836184878"/>
        <n v="0.02145046418412985"/>
        <n v="0.01072479929144784"/>
        <n v="0.009321443290539053"/>
        <n v="0.007260230351656071"/>
        <n v="0.01797410142752243"/>
        <n v="0.002112012911313721"/>
        <n v="0.008123126581975851"/>
        <n v="0.01079026038478244"/>
        <n v="0.02035244901857686"/>
        <n v="0.01214546731704015"/>
        <n v="0.01002041628713664"/>
        <n v="0.04782874209434984"/>
        <n v="0.02929670657132346"/>
        <n v="0.00831788685966558"/>
        <n v="0.04793266834252816"/>
        <n v="0.006241417699030235"/>
        <n v="0.03244013745323571"/>
        <n v="0.01158661352022489"/>
        <n v="0.0430744814157121"/>
        <s v="-"/>
        <m/>
      </sharedItems>
    </cacheField>
    <cacheField name="Posição Atual" uniqueList="1" numFmtId="166" sqlType="0" hierarchy="0" level="0" databaseField="1">
      <sharedItems count="3" containsBlank="1" containsNumber="1" containsString="0">
        <n v="27433.62"/>
        <n v="0"/>
        <m/>
      </sharedItems>
    </cacheField>
    <cacheField name="Preço Posição" uniqueList="1" numFmtId="166" sqlType="0" hierarchy="0" level="0" databaseField="1">
      <sharedItems count="39" containsBlank="1" containsNumber="1" containsString="0">
        <n v="26143.45"/>
        <n v="20426"/>
        <n v="4112.18"/>
        <n v="4432.87"/>
        <n v="5545.71"/>
        <n v="3613.75"/>
        <n v="5483.45"/>
        <n v="5515.5"/>
        <n v="5280"/>
        <n v="3569.6"/>
        <n v="5431.44"/>
        <n v="7273.5"/>
        <n v="3520.5"/>
        <n v="2882.5"/>
        <n v="3337.5"/>
        <n v="1297.32"/>
        <n v="3877.3999995"/>
        <n v="7112.35"/>
        <n v="3964.96"/>
        <n v="1982.4"/>
        <n v="1723"/>
        <n v="1342"/>
        <n v="3322.38"/>
        <n v="390.39"/>
        <n v="1501.5"/>
        <n v="1994.5"/>
        <n v="3762"/>
        <n v="2245"/>
        <n v="1852.2"/>
        <n v="8840.790000000001"/>
        <n v="5415.28"/>
        <n v="1537.5"/>
        <n v="8860"/>
        <n v="1153.68"/>
        <n v="5996.32"/>
        <n v="2141.7"/>
        <n v="7962"/>
        <n v="184842.6199995001"/>
        <m/>
      </sharedItems>
    </cacheField>
    <cacheField name="Valorização" uniqueList="1" numFmtId="166" sqlType="0" hierarchy="0" level="0" databaseField="1">
      <sharedItems count="39" containsBlank="1" containsNumber="1" containsString="0">
        <n v="1290.169999999998"/>
        <n v="-20426"/>
        <n v="-4112.18"/>
        <n v="-4432.87"/>
        <n v="-5545.71"/>
        <n v="-3613.75"/>
        <n v="-5483.45"/>
        <n v="-5515.5"/>
        <n v="-5280"/>
        <n v="-3569.6"/>
        <n v="-5431.44"/>
        <n v="-7273.5"/>
        <n v="-3520.5"/>
        <n v="-2882.5"/>
        <n v="-3337.5"/>
        <n v="-1297.32"/>
        <n v="-3877.3999995"/>
        <n v="-7112.35"/>
        <n v="-3964.96"/>
        <n v="-1982.4"/>
        <n v="-1723"/>
        <n v="-1342"/>
        <n v="-3322.38"/>
        <n v="-390.39"/>
        <n v="-1501.5"/>
        <n v="-1994.5"/>
        <n v="-3762"/>
        <n v="-2245"/>
        <n v="-1852.2"/>
        <n v="-8840.790000000001"/>
        <n v="-5415.28"/>
        <n v="-1537.5"/>
        <n v="-8860"/>
        <n v="-1153.68"/>
        <n v="-5996.32"/>
        <n v="-2141.7"/>
        <n v="-7962"/>
        <n v="-157408.9999995"/>
        <m/>
      </sharedItems>
    </cacheField>
    <cacheField name="Valorização (%)" uniqueList="1" numFmtId="10" sqlType="0" hierarchy="0" level="0" databaseField="1">
      <sharedItems count="4" containsBlank="1" containsNumber="1" containsString="0">
        <n v="0.0493496458960083"/>
        <n v="-1"/>
        <n v="-0.851583904187929"/>
        <m/>
      </sharedItems>
    </cacheField>
    <cacheField name="Proventos Recebidos" uniqueList="1" numFmtId="166" sqlType="0" hierarchy="0" level="0" databaseField="1">
      <sharedItems count="27" containsBlank="1" containsNumber="1" containsString="0">
        <n v="0"/>
        <n v="86"/>
        <n v="124.7"/>
        <n v="55.65"/>
        <n v="77"/>
        <n v="92"/>
        <n v="110"/>
        <n v="82.8"/>
        <n v="112"/>
        <n v="157.5"/>
        <n v="500.04"/>
        <n v="326.02"/>
        <n v="290.4"/>
        <n v="210.78"/>
        <n v="135.77"/>
        <n v="1292.86"/>
        <n v="2929.76"/>
        <n v="99.09"/>
        <n v="238.76"/>
        <n v="63.58"/>
        <n v="321.6"/>
        <n v="270.25"/>
        <n v="875.0999999999999"/>
        <n v="158.84"/>
        <n v="586.6"/>
        <n v="9197.1"/>
        <m/>
      </sharedItems>
    </cacheField>
    <cacheField name="Diferença" uniqueList="1" numFmtId="166" sqlType="0" hierarchy="0" level="0" databaseField="1">
      <sharedItems count="39" containsBlank="1" containsNumber="1" containsString="0">
        <n v="1290.169999999998"/>
        <n v="-20426"/>
        <n v="-4112.18"/>
        <n v="-4346.87"/>
        <n v="-5421.01"/>
        <n v="-3558.1"/>
        <n v="-5406.45"/>
        <n v="-5423.5"/>
        <n v="-5170"/>
        <n v="-3486.8"/>
        <n v="-5319.44"/>
        <n v="-7116"/>
        <n v="-3020.46"/>
        <n v="-2556.48"/>
        <n v="-3047.1"/>
        <n v="-1086.54"/>
        <n v="-3741.6299995"/>
        <n v="-5819.490000000001"/>
        <n v="-1035.2"/>
        <n v="-1883.31"/>
        <n v="-1484.24"/>
        <n v="-1278.42"/>
        <n v="-3000.78"/>
        <n v="-390.39"/>
        <n v="-1231.25"/>
        <n v="-1994.5"/>
        <n v="-2886.9"/>
        <n v="-2086.16"/>
        <n v="-1265.6"/>
        <n v="-8840.790000000001"/>
        <n v="-5415.28"/>
        <n v="-1537.5"/>
        <n v="-8860"/>
        <n v="-1153.68"/>
        <n v="-5996.32"/>
        <n v="-2141.7"/>
        <n v="-7962"/>
        <n v="-148211.8999995"/>
        <m/>
      </sharedItems>
    </cacheField>
    <cacheField name="Rentabilidade" uniqueList="1" numFmtId="10" sqlType="0" hierarchy="0" level="0" databaseField="1">
      <sharedItems count="29" containsBlank="1" containsNumber="1" containsString="0">
        <n v="0.0493496458960083"/>
        <n v="-1"/>
        <n v="-0.2013208655634975"/>
        <n v="-0.980599476185857"/>
        <n v="-0.9775141505776538"/>
        <n v="-0.9846004842615012"/>
        <n v="-0.9859577455798813"/>
        <n v="-0.9833197352914513"/>
        <n v="-0.9791666666666666"/>
        <n v="-0.9768041237113402"/>
        <n v="-0.9793793174554077"/>
        <n v="-0.9783460507321097"/>
        <n v="-0.8579633574776311"/>
        <n v="-0.886896790980052"/>
        <n v="-0.9129887640449438"/>
        <n v="-0.8375265932846175"/>
        <n v="-0.9649842678038099"/>
        <n v="-0.8182232314214009"/>
        <n v="-0.2610871231992252"/>
        <n v="-0.9500151331719129"/>
        <n v="-0.8614277423099246"/>
        <n v="-0.9526229508196722"/>
        <n v="-0.9032019215140954"/>
        <n v="-0.8200133200133201"/>
        <n v="-0.7673843700159489"/>
        <n v="-0.9292472160356346"/>
        <n v="-0.6832955404383975"/>
        <n v="-0.801827522245145"/>
        <m/>
      </sharedItems>
    </cacheField>
    <cacheField name="Rentabilidade Proporcional a Carteira" uniqueList="1" numFmtId="10" sqlType="0" hierarchy="0" level="0" databaseField="1">
      <sharedItems count="39" containsBlank="1" containsNumber="1" containsString="0">
        <n v="0.006979829651859985"/>
        <n v="-0.1105048175580677"/>
        <n v="-0.004478770301758016"/>
        <n v="-0.02351660023003221"/>
        <n v="-0.02932770591552242"/>
        <n v="-0.01924934844577307"/>
        <n v="-0.02924893620321234"/>
        <n v="-0.02934117683472929"/>
        <n v="-0.02796973987933076"/>
        <n v="-0.01886361489579313"/>
        <n v="-0.02877821143205169"/>
        <n v="-0.03849761489000342"/>
        <n v="-0.01634071189863122"/>
        <n v="-0.01383057651967341"/>
        <n v="-0.01648483450412162"/>
        <n v="-0.005878189781138889"/>
        <n v="-0.02024224715874575"/>
        <n v="-0.03148348578923919"/>
        <n v="-0.005600439985122477"/>
        <n v="-0.01018872162710685"/>
        <n v="-0.00802974984883905"/>
        <n v="-0.006916262061225153"/>
        <n v="-0.0162342429468275"/>
        <n v="-0.002112012911313721"/>
        <n v="-0.006661071997374471"/>
        <n v="-0.01079026038478244"/>
        <n v="-0.01561815126840232"/>
        <n v="-0.01128614169181135"/>
        <n v="-0.006846905762336753"/>
        <n v="-0.04782874209434984"/>
        <n v="-0.02929670657132346"/>
        <n v="-0.00831788685966558"/>
        <n v="-0.04793266834252816"/>
        <n v="-0.006241417699030235"/>
        <n v="-0.03244013745323571"/>
        <n v="-0.01158661352022489"/>
        <n v="-0.0430744814157121"/>
        <n v="-0.7840593670271762"/>
        <m/>
      </sharedItems>
    </cacheField>
    <cacheField name="Preço Atual" uniqueList="1" numFmtId="0" sqlType="0" hierarchy="0" level="0" databaseField="1">
      <sharedItems count="1" containsBlank="1" containsString="0">
        <m/>
      </sharedItems>
    </cacheField>
    <cacheField name="Preço Médio" uniqueList="1" sqlType="0" hierarchy="0" level="0" databaseField="1">
      <sharedItems count="37" containsBlank="1" containsMixedTypes="1" containsNumber="1">
        <s v="-"/>
        <n v="102.13"/>
        <n v="111.14"/>
        <n v="103.09"/>
        <n v="128.97"/>
        <n v="103.25"/>
        <n v="156.67"/>
        <n v="110.31"/>
        <n v="105.6"/>
        <n v="7.76"/>
        <n v="96.98999999999999"/>
        <n v="96.98"/>
        <n v="23.47"/>
        <n v="11.53"/>
        <n v="13.35"/>
        <n v="22.76"/>
        <n v="25.84933333"/>
        <n v="71.12350000000001"/>
        <n v="39.6496"/>
        <n v="56.64"/>
        <n v="17.23"/>
        <n v="13.42"/>
        <n v="11.0746"/>
        <n v="30.03"/>
        <n v="39.89"/>
        <n v="5.7"/>
        <n v="22.45"/>
        <n v="8.82"/>
        <n v="420.99"/>
        <n v="104.14"/>
        <n v="10.25"/>
        <n v="8.859999999999999"/>
        <n v="6.27"/>
        <n v="68.14"/>
        <n v="142.78"/>
        <n v="26.54"/>
        <m/>
      </sharedItems>
    </cacheField>
    <cacheField name="N Cotas Atual" uniqueList="1" sqlType="0" hierarchy="0" level="0" databaseField="1">
      <sharedItems count="24" containsBlank="1" containsInteger="1" containsMixedTypes="1" containsNumber="1">
        <s v="-"/>
        <n v="200"/>
        <n v="37"/>
        <n v="43"/>
        <n v="35"/>
        <n v="50"/>
        <n v="460"/>
        <n v="56"/>
        <n v="75"/>
        <n v="150"/>
        <n v="250"/>
        <n v="57"/>
        <n v="100"/>
        <n v="300"/>
        <n v="13"/>
        <n v="660"/>
        <n v="210"/>
        <n v="21"/>
        <n v="52"/>
        <n v="1000"/>
        <n v="184"/>
        <n v="88"/>
        <n v="15"/>
        <m/>
      </sharedItems>
    </cacheField>
    <cacheField name="Função Dialética e Materialista" uniqueList="1" numFmtId="0" sqlType="0" hierarchy="0" level="0" databaseField="1">
      <sharedItems count="29" containsBlank="1">
        <s v="Fundo de Emergência. Liquidez imediata garantida pelo Estado. Proteção contra a necessidade de vender sua força de trabalho em crises agudas."/>
        <s v="Caixa de Oportunidade. Proteção contra inflação de curto prazo com eficiência tributária (15% IR fixo, sem come-cotas)."/>
        <m/>
        <s v="Exploração de Incentivos. Captura de spread de crédito privado em infraestrutura (energia/saneamento) isento de IR."/>
        <s v="Logística Real. Galpões logísticos essenciais para o e-commerce. Ativo real que repassa a inflação (INCC/IPCA) nos aluguéis."/>
        <s v="Consumo. Apropriação de parte da renda do varejo e serviços. Proteção contra inflação via aluguéis comerciais."/>
        <s v="Rentismo Puro. Captura do juro real brasileiro (Selic alta) com baixo risco de volatilidade. O &quot;colchão&quot; de liquidez da renda variável. Caixa remunerado"/>
        <s v="Inflação + Spread. Títulos de dívida imobiliária high grade."/>
        <s v="Renda da Terra. Investimento em terras agrícolas produtivas (Land Banking). Captura a valorização real do solo e arrendamentos."/>
        <s v="Inflação + Spread. Títulos de dívida agrícola."/>
        <s v=" &#10;Ganho de capital via eficiência operacional. Loja de departamentos de moda atual e acessível. Maior varejista de moda do Brasil. (600+ lojas espalhadas pelo Brasil). Presença no ecomerce."/>
        <s v="Defesa no setor de saúde (demanda inelástica). Empresa de diagnósticos consolidada, com boa abragência nacional (500+ Laboratórios espalhados pelo Brasil)."/>
        <s v=" &#10;Consumo de alta renda (resiliência)."/>
        <s v="Recurso Natural. Hedge cambial natural (receita em dólar). Proteção contra desdolarização via ativo real (minério de ferro etc). Empresa global."/>
        <s v="Defesa e dividendos. Líder mundial em tecnologia de extração profunda. Empresa global."/>
        <s v="Diversificar o risco mineral/petróleo para o risco agrícola/florestal."/>
        <s v="Defesa e dividendos (setor perene). Escala nacional."/>
        <s v=" &#10;Ampla atuação em concessões de transportes e infraestrutura (setor perene). Escala nacional. "/>
        <s v="Defesa e dividendos."/>
        <s v=" &#10;Exposição à retomada da indústria e exportação."/>
        <s v="Tecnologia aplicada e indústria (crescimento)."/>
        <s v="Small Cap que paga dividendos robustos, unindo crescimento e renda."/>
        <s v="Sobrevivência. Exposição às 500 maiores empresas globais. Hedge contra o &quot;Risco Brasil&quot; e desvalorização do Real."/>
        <s v="Hedge Geopolítico. Aposta na ascensão do Oriente e descorrelação com o ciclo econômico dos EUA/Ocidente."/>
        <s v="Cenário de Fuga para o dólar e Crescimento"/>
        <s v="Reserva Digital. Hedge contra a falência das moedas fiduciárias e inflação monetária global. Potencial exponencial."/>
        <s v="Reserva Milenar. Proteção contra crises sistêmicas agudas. Ativo que não é passivo de ninguém (sem risco de crédito). Utilizado na indústria de energia renovável (commoditie estratégica)"/>
        <s v="Reserva Milenar. Proteção final contra crises sistêmicas agudas. Ativo que não é passivo de ninguém (sem risco de crédito)."/>
        <s v="-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Resumo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J51" firstHeaderRow="0" firstDataRow="5" firstDataCol="0"/>
  <pivotFields count="23">
    <pivotField name="Fator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Ticker" axis="axisRow" showDropDowns="1" compact="0" outline="0" subtotalTop="1" dragToRow="1" dragToCol="1" multipleItemSelectionAllowed="1" dragToPage="1" dragToData="1" dragOff="1" showAll="0" topAutoShow="1" itemPageCount="10" sortType="descending" defaultSubtotal="1">
      <items count="4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efault" sd="1"/>
      </items>
      <autoSortScope>
        <pivotArea type="normal" dataOnly="1" outline="1">
          <references count="1">
            <reference field="4294967294">
              <x v="0"/>
            </reference>
          </references>
        </pivotArea>
      </autoSortScope>
    </pivotField>
    <pivotField name="Nome do Ativo / Gestora" showDropDowns="1" compact="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Classe" axis="axisRow" showDropDowns="1" compact="0" outline="0" subtotalTop="1" dragToRow="1" dragToCol="1" multipleItemSelectionAllowed="1" dragToPage="1" dragToData="1" dragOff="1" showAll="0" topAutoShow="1" itemPageCount="10" sortType="descending" defaultSubtotal="1">
      <items count="7">
        <item t="data" sd="1" x="0"/>
        <item t="data" sd="1" x="1"/>
        <item t="data" sd="1" x="2"/>
        <item t="data" sd="1" x="3"/>
        <item t="data" h="1" sd="1" x="4"/>
        <item t="data" h="1" sd="1" x="5"/>
        <item t="default" sd="1"/>
      </items>
      <autoSortScope>
        <pivotArea type="normal" dataOnly="1" outline="1">
          <references count="1">
            <reference field="4294967294">
              <x v="0"/>
            </reference>
          </references>
        </pivotArea>
      </autoSortScope>
    </pivotField>
    <pivotField name="Setor" axis="axisRow" showDropDowns="1" compact="0" outline="0" subtotalTop="1" dragToRow="1" dragToCol="1" multipleItemSelectionAllowed="1" dragToPage="1" dragToData="1" dragOff="1" showAll="0" topAutoShow="1" itemPageCount="10" sortType="descending" defaultSubtotal="1">
      <items count="1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efault" sd="1"/>
      </items>
      <autoSortScope>
        <pivotArea type="normal" dataOnly="1" outline="1">
          <references count="1">
            <reference field="4294967294">
              <x v="0"/>
            </reference>
          </references>
        </pivotArea>
      </autoSortScope>
    </pivotField>
    <pivotField name="Subsetor" axis="axisRow" showDropDowns="1" compact="0" outline="0" subtotalTop="1" dragToRow="1" dragToCol="1" multipleItemSelectionAllowed="1" dragToPage="1" dragToData="1" dragOff="1" showAll="0" topAutoShow="1" itemPageCount="10" sortType="descending" defaultSubtotal="1">
      <items count="30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1" x="27"/>
        <item t="data" sd="1" x="28"/>
        <item t="default" sd="1"/>
      </items>
      <autoSortScope>
        <pivotArea type="normal" dataOnly="1" outline="1">
          <references count="1">
            <reference field="4294967294">
              <x v="0"/>
            </reference>
          </references>
        </pivotArea>
      </autoSortScope>
    </pivotField>
    <pivotField name="Segmento" showDropDowns="1" compact="0" outline="0" subtotalTop="1" dragToRow="1" dragToCol="1" multipleItemSelectionAllowed="1" dragToPage="1" dragToData="1" dragOff="1" showAll="0" topAutoShow="1" itemPageCount="10" sortType="manual" defaultSubtotal="1">
      <items count="3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efault" sd="1"/>
      </items>
    </pivotField>
    <pivotField name="% Meta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Valor Meta (R$)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% Atual" dataField="1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% Inicial" showDropDowns="1" compact="0" outline="0" subtotalTop="1" dragToRow="1" dragToCol="1" multipleItemSelectionAllowed="1" dragToPage="1" dragToData="1" dragOff="1" showAll="0" topAutoShow="1" itemPageCount="10" sortType="manual" defaultSubtotal="1">
      <items count="4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efault" sd="1"/>
      </items>
    </pivotField>
    <pivotField name="Posição Atual" dataField="1" showDropDowns="1" compact="0" numFmtId="166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Preço Posição" showDropDowns="1" compact="0" numFmtId="166" outline="0" subtotalTop="1" dragToRow="1" dragToCol="1" multipleItemSelectionAllowed="1" dragToPage="1" dragToData="1" dragOff="1" showAll="0" topAutoShow="1" itemPageCount="10" sortType="manual" defaultSubtotal="1">
      <items count="4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efault" sd="1"/>
      </items>
    </pivotField>
    <pivotField name="Valorização" dataField="1" showDropDowns="1" compact="0" numFmtId="166" outline="0" subtotalTop="1" dragToRow="1" dragToCol="1" multipleItemSelectionAllowed="1" dragToPage="1" dragToData="1" dragOff="1" showAll="0" topAutoShow="1" itemPageCount="10" sortType="manual" defaultSubtotal="1">
      <items count="4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efault" sd="1"/>
      </items>
    </pivotField>
    <pivotField name="Valorização (%)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roventos Recebidos" dataField="1" showDropDowns="1" compact="0" numFmtId="166" outline="0" subtotalTop="1" dragToRow="1" dragToCol="1" multipleItemSelectionAllowed="1" dragToPage="1" dragToData="1" dragOff="1" showAll="0" topAutoShow="1" itemPageCount="10" sortType="manual" defaultSubtotal="1">
      <items count="2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efault" sd="1"/>
      </items>
    </pivotField>
    <pivotField name="Diferença" dataField="1" showDropDowns="1" compact="0" numFmtId="166" outline="0" subtotalTop="1" dragToRow="1" dragToCol="1" multipleItemSelectionAllowed="1" dragToPage="1" dragToData="1" dragOff="1" showAll="0" topAutoShow="1" itemPageCount="10" sortType="manual" defaultSubtotal="1">
      <items count="4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efault" sd="1"/>
      </items>
    </pivotField>
    <pivotField name="Rentabilidade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3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efault" sd="1"/>
      </items>
    </pivotField>
    <pivotField name="Rentabilidade Proporcional a Carteira" dataField="1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4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efault" sd="1"/>
      </items>
    </pivotField>
    <pivotField name="Preço Atual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Preço Médio" showDropDowns="1" compact="0" outline="0" subtotalTop="1" dragToRow="1" dragToCol="1" multipleItemSelectionAllowed="1" dragToPage="1" dragToData="1" dragOff="1" showAll="0" topAutoShow="1" itemPageCount="10" sortType="manual" defaultSubtotal="1">
      <items count="3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name="N Cotas Atual" showDropDowns="1" compact="0" outline="0" subtotalTop="1" dragToRow="1" dragToCol="1" multipleItemSelectionAllowed="1" dragToPage="1" dragToData="1" dragOff="1" showAll="0" topAutoShow="1" itemPageCount="10" sortType="manual" defaultSubtotal="1">
      <items count="2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efault" sd="1"/>
      </items>
    </pivotField>
    <pivotField name="Função Dialética e Materialista" showDropDowns="1" compact="0" outline="0" subtotalTop="1" dragToRow="1" dragToCol="1" multipleItemSelectionAllowed="1" dragToPage="1" dragToData="1" dragOff="1" showAll="0" topAutoShow="1" itemPageCount="10" sortType="manual" defaultSubtotal="1">
      <items count="3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efault" sd="1"/>
      </items>
    </pivotField>
  </pivotFields>
  <rowFields count="4">
    <field x="3"/>
    <field x="4"/>
    <field x="5"/>
    <field x="1"/>
  </rowFields>
  <colFields count="1">
    <field x="-2"/>
  </colFields>
  <dataFields count="6">
    <dataField name="Soma de % Atual" fld="9" subtotal="sum" showDataAs="normal" baseField="0" baseItem="1048832"/>
    <dataField name="Soma de Posição Atual" fld="11" subtotal="sum" showDataAs="normal" baseField="0" baseItem="1048832"/>
    <dataField name="Soma de Valorização" fld="13" subtotal="sum" showDataAs="normal" baseField="0" baseItem="1048832"/>
    <dataField name="Soma de Proventos Recebidos" fld="15" subtotal="sum" showDataAs="normal" baseField="0" baseItem="1048832"/>
    <dataField name="Soma de Diferença" fld="16" subtotal="sum" showDataAs="normal" baseField="0" baseItem="1048832"/>
    <dataField name="Soma de Rentabilidade Proporcional a Carteira" fld="18" subtotal="sum" showDataAs="normal" baseField="0" baseItem="1048832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0" customWidth="1" style="94" min="1" max="1"/>
    <col width="14.13" customWidth="1" style="94" min="2" max="2"/>
    <col width="35.63" customWidth="1" style="94" min="3" max="3"/>
    <col width="24.75" customWidth="1" style="94" min="4" max="4"/>
    <col width="34.38" customWidth="1" style="94" min="5" max="7"/>
    <col width="9.630000000000001" customWidth="1" style="94" min="8" max="8"/>
    <col width="16.63" customWidth="1" style="94" min="9" max="9"/>
    <col width="9.880000000000001" customWidth="1" style="94" min="10" max="11"/>
    <col width="15.13" customWidth="1" style="94" min="12" max="12"/>
    <col width="15.63" customWidth="1" style="94" min="13" max="14"/>
    <col width="20.13" customWidth="1" style="94" min="15" max="15"/>
    <col width="22.13" customWidth="1" style="94" min="16" max="16"/>
    <col width="23.75" customWidth="1" style="94" min="17" max="17"/>
    <col width="20.13" customWidth="1" style="94" min="18" max="18"/>
    <col width="24.63" customWidth="1" style="94" min="19" max="19"/>
    <col width="14.13" customWidth="1" style="94" min="20" max="21"/>
    <col width="15.13" customWidth="1" style="94" min="22" max="22"/>
    <col width="50.38" customWidth="1" style="94" min="23" max="23"/>
    <col width="8.630000000000001" customWidth="1" style="94" min="24" max="26"/>
  </cols>
  <sheetData>
    <row r="1" ht="33" customHeight="1" s="94">
      <c r="A1" s="1" t="inlineStr">
        <is>
          <t>Fator</t>
        </is>
      </c>
      <c r="B1" s="2" t="inlineStr">
        <is>
          <t>Ticker</t>
        </is>
      </c>
      <c r="C1" s="1" t="inlineStr">
        <is>
          <t>Nome do Ativo / Gestora</t>
        </is>
      </c>
      <c r="D1" s="1" t="inlineStr">
        <is>
          <t>Classe</t>
        </is>
      </c>
      <c r="E1" s="1" t="inlineStr">
        <is>
          <t>Setor</t>
        </is>
      </c>
      <c r="F1" s="1" t="inlineStr">
        <is>
          <t>Subsetor</t>
        </is>
      </c>
      <c r="G1" s="1" t="inlineStr">
        <is>
          <t>Segmento</t>
        </is>
      </c>
      <c r="H1" s="1" t="inlineStr">
        <is>
          <t>% Meta</t>
        </is>
      </c>
      <c r="I1" s="1" t="inlineStr">
        <is>
          <t>Valor Meta (R$)</t>
        </is>
      </c>
      <c r="J1" s="3" t="inlineStr">
        <is>
          <t>% Atual</t>
        </is>
      </c>
      <c r="K1" s="1" t="inlineStr">
        <is>
          <t>% Inicial</t>
        </is>
      </c>
      <c r="L1" s="1" t="inlineStr">
        <is>
          <t>Posição Atual</t>
        </is>
      </c>
      <c r="M1" s="4" t="inlineStr">
        <is>
          <t>Preço Posição</t>
        </is>
      </c>
      <c r="N1" s="5" t="inlineStr">
        <is>
          <t>Valorização</t>
        </is>
      </c>
      <c r="O1" s="6" t="inlineStr">
        <is>
          <t>Valorização (%)</t>
        </is>
      </c>
      <c r="P1" s="5" t="inlineStr">
        <is>
          <t>Proventos Recebidos</t>
        </is>
      </c>
      <c r="Q1" s="5" t="inlineStr">
        <is>
          <t>Diferença</t>
        </is>
      </c>
      <c r="R1" s="7" t="inlineStr">
        <is>
          <t>Rentabilidade</t>
        </is>
      </c>
      <c r="S1" s="7" t="inlineStr">
        <is>
          <t>Rentabilidade Proporcional a Carteira</t>
        </is>
      </c>
      <c r="T1" s="8" t="inlineStr">
        <is>
          <t>Preço Atual</t>
        </is>
      </c>
      <c r="U1" s="8" t="inlineStr">
        <is>
          <t>Preço Médio</t>
        </is>
      </c>
      <c r="V1" s="9" t="inlineStr">
        <is>
          <t>N Cotas Atual</t>
        </is>
      </c>
      <c r="W1" s="1" t="inlineStr">
        <is>
          <t>Função Dialética e Materialista</t>
        </is>
      </c>
    </row>
    <row r="2" ht="53.25" customHeight="1" s="94">
      <c r="A2" s="10" t="inlineStr">
        <is>
          <t>CAIXA (CRÉDITO PÚBLICO)</t>
        </is>
      </c>
      <c r="B2" s="11" t="inlineStr">
        <is>
          <t>LFT</t>
        </is>
      </c>
      <c r="C2" s="12" t="inlineStr">
        <is>
          <t>Tesouro Selic 2027/29</t>
        </is>
      </c>
      <c r="D2" s="12" t="inlineStr">
        <is>
          <t>Renda Fixa</t>
        </is>
      </c>
      <c r="E2" s="12" t="inlineStr">
        <is>
          <t>Dívida Pública</t>
        </is>
      </c>
      <c r="F2" s="12" t="inlineStr">
        <is>
          <t>Juros (Selic)</t>
        </is>
      </c>
      <c r="G2" s="12" t="inlineStr">
        <is>
          <t>Juros (Selic)</t>
        </is>
      </c>
      <c r="H2" s="13" t="n"/>
      <c r="I2" s="14" t="n"/>
      <c r="J2" s="15">
        <f>L2/L39</f>
        <v/>
      </c>
      <c r="K2" s="13">
        <f>M2/M39</f>
        <v/>
      </c>
      <c r="L2" s="16" t="n">
        <v>27433.62</v>
      </c>
      <c r="M2" s="16">
        <f>26553.45 - 410</f>
        <v/>
      </c>
      <c r="N2" s="17">
        <f>L2-M2</f>
        <v/>
      </c>
      <c r="O2" s="18">
        <f>N2/M2</f>
        <v/>
      </c>
      <c r="P2" s="19" t="n">
        <v>0</v>
      </c>
      <c r="Q2" s="17">
        <f>N2+P2</f>
        <v/>
      </c>
      <c r="R2" s="18">
        <f>Q2/M2</f>
        <v/>
      </c>
      <c r="S2" s="18">
        <f>K2*R2</f>
        <v/>
      </c>
      <c r="T2" s="20" t="n"/>
      <c r="U2" s="20" t="inlineStr">
        <is>
          <t>-</t>
        </is>
      </c>
      <c r="V2" s="21" t="inlineStr">
        <is>
          <t>-</t>
        </is>
      </c>
      <c r="W2" s="22" t="inlineStr">
        <is>
          <t>Fundo de Emergência. Liquidez imediata garantida pelo Estado. Proteção contra a necessidade de vender sua força de trabalho em crises agudas.</t>
        </is>
      </c>
    </row>
    <row r="3" ht="59.25" customHeight="1" s="94">
      <c r="A3" s="10" t="inlineStr">
        <is>
          <t>CAIXA (CRÉDITO PÚBLICO)</t>
        </is>
      </c>
      <c r="B3" s="11" t="inlineStr">
        <is>
          <t>B5P211</t>
        </is>
      </c>
      <c r="C3" s="23" t="inlineStr">
        <is>
          <t>ETF IMA-B5 P2 (Itaú)</t>
        </is>
      </c>
      <c r="D3" s="12" t="inlineStr">
        <is>
          <t>Renda Fixa</t>
        </is>
      </c>
      <c r="E3" s="12" t="inlineStr">
        <is>
          <t>Dívida Pública</t>
        </is>
      </c>
      <c r="F3" s="12" t="inlineStr">
        <is>
          <t>Inflação (IPCA)</t>
        </is>
      </c>
      <c r="G3" s="23" t="inlineStr">
        <is>
          <t>Inflação (IPCA) 5 anos</t>
        </is>
      </c>
      <c r="H3" s="13" t="n"/>
      <c r="I3" s="14" t="n"/>
      <c r="J3" s="15">
        <f>L3/L39</f>
        <v/>
      </c>
      <c r="K3" s="13">
        <f>M3/M39</f>
        <v/>
      </c>
      <c r="L3" s="24">
        <f>V3*T3</f>
        <v/>
      </c>
      <c r="M3" s="19">
        <f>V3*U3</f>
        <v/>
      </c>
      <c r="N3" s="17">
        <f>L3-M3</f>
        <v/>
      </c>
      <c r="O3" s="18">
        <f>N3/M3</f>
        <v/>
      </c>
      <c r="P3" s="19" t="n">
        <v>0</v>
      </c>
      <c r="Q3" s="17">
        <f>N3+P3</f>
        <v/>
      </c>
      <c r="R3" s="18">
        <f>Q3/$M$3</f>
        <v/>
      </c>
      <c r="S3" s="18">
        <f>K3*R3</f>
        <v/>
      </c>
      <c r="T3" s="25" t="n">
        <v>104.8</v>
      </c>
      <c r="U3" s="25" t="n">
        <v>102.13</v>
      </c>
      <c r="V3" s="26" t="n">
        <v>200</v>
      </c>
      <c r="W3" s="22" t="inlineStr">
        <is>
          <t>Caixa de Oportunidade. Proteção contra inflação de curto prazo com eficiência tributária (15% IR fixo, sem come-cotas).</t>
        </is>
      </c>
    </row>
    <row r="4" ht="59.25" customHeight="1" s="94">
      <c r="A4" s="10" t="inlineStr">
        <is>
          <t>CAIXA (CRÉDITO PÚBLICO)</t>
        </is>
      </c>
      <c r="B4" s="27" t="inlineStr">
        <is>
          <t>IMAB11</t>
        </is>
      </c>
      <c r="C4" s="23" t="inlineStr">
        <is>
          <t>ETF IMA-B (Itaú)</t>
        </is>
      </c>
      <c r="D4" s="12" t="inlineStr">
        <is>
          <t>Renda Fixa</t>
        </is>
      </c>
      <c r="E4" s="12" t="inlineStr">
        <is>
          <t>Dívida Pública</t>
        </is>
      </c>
      <c r="F4" s="12" t="inlineStr">
        <is>
          <t>Inflação (IPCA)</t>
        </is>
      </c>
      <c r="G4" s="23" t="inlineStr">
        <is>
          <t>Inflação (IPCA)</t>
        </is>
      </c>
      <c r="H4" s="13" t="n"/>
      <c r="I4" s="14" t="n"/>
      <c r="J4" s="15">
        <f>L4/L39</f>
        <v/>
      </c>
      <c r="K4" s="13">
        <f>M4/M39</f>
        <v/>
      </c>
      <c r="L4" s="24">
        <f>V4*T4</f>
        <v/>
      </c>
      <c r="M4" s="19">
        <f>V4*U4</f>
        <v/>
      </c>
      <c r="N4" s="17">
        <f>L4-M4</f>
        <v/>
      </c>
      <c r="O4" s="18">
        <f>N4/M4</f>
        <v/>
      </c>
      <c r="P4" s="19" t="n">
        <v>0</v>
      </c>
      <c r="Q4" s="17">
        <f>N4+P4</f>
        <v/>
      </c>
      <c r="R4" s="18">
        <f>Q4/$M$3</f>
        <v/>
      </c>
      <c r="S4" s="18">
        <f>K4*R4</f>
        <v/>
      </c>
      <c r="T4" s="30" t="n">
        <v>111.05</v>
      </c>
      <c r="U4" s="30" t="n">
        <v>111.14</v>
      </c>
      <c r="V4" s="29" t="n">
        <v>37</v>
      </c>
      <c r="W4" s="22" t="n"/>
    </row>
    <row r="5" ht="42.75" customHeight="1" s="94">
      <c r="A5" s="10" t="inlineStr">
        <is>
          <t>FI-INFRA (CRÉDITO PRIVADO ISENTO)</t>
        </is>
      </c>
      <c r="B5" s="11" t="inlineStr">
        <is>
          <t>JURO11</t>
        </is>
      </c>
      <c r="C5" s="12" t="inlineStr">
        <is>
          <t>Sparta Infraestrutura</t>
        </is>
      </c>
      <c r="D5" s="12" t="inlineStr">
        <is>
          <t>Fundos de Investimentos</t>
        </is>
      </c>
      <c r="E5" s="12" t="inlineStr">
        <is>
          <t>Infraestrutura</t>
        </is>
      </c>
      <c r="F5" s="12" t="inlineStr">
        <is>
          <t>Debêntures Incentivadas</t>
        </is>
      </c>
      <c r="G5" s="12" t="inlineStr">
        <is>
          <t>Inflação (IPCA)</t>
        </is>
      </c>
      <c r="H5" s="13" t="n"/>
      <c r="I5" s="14" t="n"/>
      <c r="J5" s="15">
        <f>L5/L39</f>
        <v/>
      </c>
      <c r="K5" s="13">
        <f>M5/M39</f>
        <v/>
      </c>
      <c r="L5" s="24">
        <f>V5*T5</f>
        <v/>
      </c>
      <c r="M5" s="19">
        <f>V5*U5</f>
        <v/>
      </c>
      <c r="N5" s="17">
        <f>L5-M5</f>
        <v/>
      </c>
      <c r="O5" s="18">
        <f>N5/M5</f>
        <v/>
      </c>
      <c r="P5" s="17" t="n">
        <v>86</v>
      </c>
      <c r="Q5" s="17">
        <f>N5+P5</f>
        <v/>
      </c>
      <c r="R5" s="18">
        <f>Q5/M5</f>
        <v/>
      </c>
      <c r="S5" s="18">
        <f>K5*R5</f>
        <v/>
      </c>
      <c r="T5" s="25" t="n">
        <v>102.52</v>
      </c>
      <c r="U5" s="25" t="n">
        <v>103.09</v>
      </c>
      <c r="V5" s="26" t="n">
        <v>43</v>
      </c>
      <c r="W5" s="22" t="inlineStr">
        <is>
          <t>Exploração de Incentivos. Captura de spread de crédito privado em infraestrutura (energia/saneamento) isento de IR.</t>
        </is>
      </c>
    </row>
    <row r="6" ht="40.5" customHeight="1" s="94">
      <c r="A6" s="10" t="inlineStr">
        <is>
          <t>FI-INFRA (CRÉDITO PRIVADO ISENTO)</t>
        </is>
      </c>
      <c r="B6" s="11" t="inlineStr">
        <is>
          <t>KDIF11</t>
        </is>
      </c>
      <c r="C6" s="12" t="inlineStr">
        <is>
          <t>Kinea Infra</t>
        </is>
      </c>
      <c r="D6" s="12" t="inlineStr">
        <is>
          <t>Fundos de Investimentos</t>
        </is>
      </c>
      <c r="E6" s="12" t="inlineStr">
        <is>
          <t>Infraestrutura</t>
        </is>
      </c>
      <c r="F6" s="12" t="inlineStr">
        <is>
          <t>Debêntures Incentivadas</t>
        </is>
      </c>
      <c r="G6" s="12" t="inlineStr">
        <is>
          <t>Inflação (IPCA)</t>
        </is>
      </c>
      <c r="H6" s="13" t="n"/>
      <c r="I6" s="14" t="n"/>
      <c r="J6" s="15">
        <f>L6/L39</f>
        <v/>
      </c>
      <c r="K6" s="13">
        <f>M6/M39</f>
        <v/>
      </c>
      <c r="L6" s="24">
        <f>V6*T6</f>
        <v/>
      </c>
      <c r="M6" s="19">
        <f>V6*U6</f>
        <v/>
      </c>
      <c r="N6" s="17">
        <f>L6-M6</f>
        <v/>
      </c>
      <c r="O6" s="18">
        <f>N6/M6</f>
        <v/>
      </c>
      <c r="P6" s="17" t="n">
        <v>124.7</v>
      </c>
      <c r="Q6" s="17">
        <f>N6+P6</f>
        <v/>
      </c>
      <c r="R6" s="18">
        <f>Q6/M6</f>
        <v/>
      </c>
      <c r="S6" s="18">
        <f>K6*R6</f>
        <v/>
      </c>
      <c r="T6" s="25" t="n">
        <v>130.6</v>
      </c>
      <c r="U6" s="25" t="n">
        <v>128.97</v>
      </c>
      <c r="V6" s="26" t="n">
        <v>43</v>
      </c>
    </row>
    <row r="7" ht="44.25" customHeight="1" s="94">
      <c r="A7" s="10" t="inlineStr">
        <is>
          <t>FII (RENDA URBANA)</t>
        </is>
      </c>
      <c r="B7" s="11" t="inlineStr">
        <is>
          <t>BTLG11</t>
        </is>
      </c>
      <c r="C7" s="12" t="inlineStr">
        <is>
          <t>BTG Pactual Logística</t>
        </is>
      </c>
      <c r="D7" s="12" t="inlineStr">
        <is>
          <t>Fundos de Investimentos</t>
        </is>
      </c>
      <c r="E7" s="12" t="inlineStr">
        <is>
          <t>Imobiliário</t>
        </is>
      </c>
      <c r="F7" s="12" t="inlineStr">
        <is>
          <t>Galpões Logísticos</t>
        </is>
      </c>
      <c r="G7" s="12" t="inlineStr">
        <is>
          <t>Galpões Logísticos</t>
        </is>
      </c>
      <c r="H7" s="13" t="n"/>
      <c r="J7" s="15">
        <f>L7/L39</f>
        <v/>
      </c>
      <c r="K7" s="13">
        <f>M7/M39</f>
        <v/>
      </c>
      <c r="L7" s="24">
        <f>V7*T7</f>
        <v/>
      </c>
      <c r="M7" s="19">
        <f>V7*U7</f>
        <v/>
      </c>
      <c r="N7" s="17">
        <f>L7-M7</f>
        <v/>
      </c>
      <c r="O7" s="18">
        <f>N7/M7</f>
        <v/>
      </c>
      <c r="P7" s="17" t="n">
        <v>55.65</v>
      </c>
      <c r="Q7" s="17">
        <f>N7+P7</f>
        <v/>
      </c>
      <c r="R7" s="18">
        <f>Q7/M7</f>
        <v/>
      </c>
      <c r="S7" s="18">
        <f>K7*R7</f>
        <v/>
      </c>
      <c r="T7" s="25" t="n">
        <v>103.44</v>
      </c>
      <c r="U7" s="25" t="n">
        <v>103.25</v>
      </c>
      <c r="V7" s="26" t="n">
        <v>35</v>
      </c>
      <c r="W7" s="22" t="inlineStr">
        <is>
          <t>Logística Real. Galpões logísticos essenciais para o e-commerce. Ativo real que repassa a inflação (INCC/IPCA) nos aluguéis.</t>
        </is>
      </c>
    </row>
    <row r="8" ht="44.25" customHeight="1" s="94">
      <c r="A8" s="10" t="inlineStr">
        <is>
          <t>FII (RENDA URBANA)</t>
        </is>
      </c>
      <c r="B8" s="11" t="inlineStr">
        <is>
          <t>HGLG11</t>
        </is>
      </c>
      <c r="C8" s="12" t="inlineStr">
        <is>
          <t>CGHG Logística</t>
        </is>
      </c>
      <c r="D8" s="12" t="inlineStr">
        <is>
          <t>Fundos de Investimentos</t>
        </is>
      </c>
      <c r="E8" s="12" t="inlineStr">
        <is>
          <t>Imobiliário</t>
        </is>
      </c>
      <c r="F8" s="12" t="inlineStr">
        <is>
          <t>Galpões Logísticos</t>
        </is>
      </c>
      <c r="G8" s="12" t="inlineStr">
        <is>
          <t>Galpões Logísticos</t>
        </is>
      </c>
      <c r="H8" s="13" t="n"/>
      <c r="I8" s="14" t="n"/>
      <c r="J8" s="15">
        <f>L8/L39</f>
        <v/>
      </c>
      <c r="K8" s="13">
        <f>M8/M39</f>
        <v/>
      </c>
      <c r="L8" s="24">
        <f>V8*T8</f>
        <v/>
      </c>
      <c r="M8" s="19">
        <f>V8*U8</f>
        <v/>
      </c>
      <c r="N8" s="17">
        <f>L8-M8</f>
        <v/>
      </c>
      <c r="O8" s="18">
        <f>N8/M8</f>
        <v/>
      </c>
      <c r="P8" s="17" t="n">
        <v>77</v>
      </c>
      <c r="Q8" s="17">
        <f>N8+P8</f>
        <v/>
      </c>
      <c r="R8" s="18">
        <f>Q8/M8</f>
        <v/>
      </c>
      <c r="S8" s="13">
        <f>K8*R8</f>
        <v/>
      </c>
      <c r="T8" s="25" t="n">
        <v>156.32</v>
      </c>
      <c r="U8" s="25" t="n">
        <v>156.67</v>
      </c>
      <c r="V8" s="26" t="n">
        <v>35</v>
      </c>
    </row>
    <row r="9" ht="45.75" customHeight="1" s="94">
      <c r="A9" s="10" t="inlineStr">
        <is>
          <t>FII (RENDA URBANA)</t>
        </is>
      </c>
      <c r="B9" s="11" t="inlineStr">
        <is>
          <t>XPML11</t>
        </is>
      </c>
      <c r="C9" s="12" t="inlineStr">
        <is>
          <t>XP Malls (Shoppings)</t>
        </is>
      </c>
      <c r="D9" s="12" t="inlineStr">
        <is>
          <t>Fundos de Investimentos</t>
        </is>
      </c>
      <c r="E9" s="12" t="inlineStr">
        <is>
          <t>Imobiliário</t>
        </is>
      </c>
      <c r="F9" s="12" t="inlineStr">
        <is>
          <t>Shoppings</t>
        </is>
      </c>
      <c r="G9" s="12" t="inlineStr">
        <is>
          <t>Shoppings</t>
        </is>
      </c>
      <c r="H9" s="13" t="n"/>
      <c r="I9" s="14" t="n"/>
      <c r="J9" s="15">
        <f>L9/L39</f>
        <v/>
      </c>
      <c r="K9" s="13">
        <f>M9/M39</f>
        <v/>
      </c>
      <c r="L9" s="24">
        <f>V9*T9</f>
        <v/>
      </c>
      <c r="M9" s="19">
        <f>V9*U9</f>
        <v/>
      </c>
      <c r="N9" s="17">
        <f>L9-M9</f>
        <v/>
      </c>
      <c r="O9" s="18">
        <f>N9/M9</f>
        <v/>
      </c>
      <c r="P9" s="17" t="n">
        <v>92</v>
      </c>
      <c r="Q9" s="17">
        <f>N9+P9</f>
        <v/>
      </c>
      <c r="R9" s="18">
        <f>Q9/M9</f>
        <v/>
      </c>
      <c r="S9" s="13">
        <f>K9*R9</f>
        <v/>
      </c>
      <c r="T9" s="30" t="n">
        <v>108.71</v>
      </c>
      <c r="U9" s="25" t="n">
        <v>110.31</v>
      </c>
      <c r="V9" s="26" t="n">
        <v>50</v>
      </c>
      <c r="W9" s="22" t="inlineStr">
        <is>
          <t>Consumo. Apropriação de parte da renda do varejo e serviços. Proteção contra inflação via aluguéis comerciais.</t>
        </is>
      </c>
    </row>
    <row r="10" ht="47.25" customHeight="1" s="94">
      <c r="A10" s="10" t="inlineStr">
        <is>
          <t>FII (RENDA URBANA)</t>
        </is>
      </c>
      <c r="B10" s="11" t="inlineStr">
        <is>
          <t>KNCR11</t>
        </is>
      </c>
      <c r="C10" s="12" t="inlineStr">
        <is>
          <t>Kinea Rendimentos (CDI)</t>
        </is>
      </c>
      <c r="D10" s="12" t="inlineStr">
        <is>
          <t>Fundos de Investimentos</t>
        </is>
      </c>
      <c r="E10" s="12" t="inlineStr">
        <is>
          <t>Imobiliário</t>
        </is>
      </c>
      <c r="F10" s="12" t="inlineStr">
        <is>
          <t>Dívida Imobiliária (CRIs)</t>
        </is>
      </c>
      <c r="G10" s="12" t="inlineStr">
        <is>
          <t>Juros (Selic)</t>
        </is>
      </c>
      <c r="H10" s="13" t="n"/>
      <c r="I10" s="14" t="n"/>
      <c r="J10" s="15">
        <f>L10/L39</f>
        <v/>
      </c>
      <c r="K10" s="13">
        <f>M10/M39</f>
        <v/>
      </c>
      <c r="L10" s="24">
        <f>V10*T10</f>
        <v/>
      </c>
      <c r="M10" s="19">
        <f>V10*U10</f>
        <v/>
      </c>
      <c r="N10" s="17">
        <f>L10-M10</f>
        <v/>
      </c>
      <c r="O10" s="18">
        <f>N10/M10</f>
        <v/>
      </c>
      <c r="P10" s="17" t="n">
        <v>110</v>
      </c>
      <c r="Q10" s="17">
        <f>N10+P10</f>
        <v/>
      </c>
      <c r="R10" s="18">
        <f>Q10/M10</f>
        <v/>
      </c>
      <c r="S10" s="18">
        <f>K10*R10</f>
        <v/>
      </c>
      <c r="T10" s="25" t="n">
        <v>105.75</v>
      </c>
      <c r="U10" s="25" t="n">
        <v>105.6</v>
      </c>
      <c r="V10" s="26" t="n">
        <v>50</v>
      </c>
      <c r="W10" s="22" t="inlineStr">
        <is>
          <t>Rentismo Puro. Captura do juro real brasileiro (Selic alta) com baixo risco de volatilidade. O "colchão" de liquidez da renda variável. Caixa remunerado</t>
        </is>
      </c>
    </row>
    <row r="11" ht="48" customHeight="1" s="94">
      <c r="A11" s="10" t="inlineStr">
        <is>
          <t>FII (RENDA URBANA)</t>
        </is>
      </c>
      <c r="B11" s="11" t="inlineStr">
        <is>
          <t>CPTS11</t>
        </is>
      </c>
      <c r="C11" s="12" t="inlineStr">
        <is>
          <t>Capitânia Securities (IPCA)</t>
        </is>
      </c>
      <c r="D11" s="12" t="inlineStr">
        <is>
          <t>Fundos de Investimentos</t>
        </is>
      </c>
      <c r="E11" s="12" t="inlineStr">
        <is>
          <t>Imobiliário</t>
        </is>
      </c>
      <c r="F11" s="12" t="inlineStr">
        <is>
          <t>Dívida Imobiliária (CRIs)</t>
        </is>
      </c>
      <c r="G11" s="12" t="inlineStr">
        <is>
          <t>Inflação (IPCA)</t>
        </is>
      </c>
      <c r="H11" s="13" t="n"/>
      <c r="I11" s="14" t="n"/>
      <c r="J11" s="15">
        <f>L11/L39</f>
        <v/>
      </c>
      <c r="K11" s="13">
        <f>M11/M39</f>
        <v/>
      </c>
      <c r="L11" s="24">
        <f>V11*T11</f>
        <v/>
      </c>
      <c r="M11" s="19">
        <f>V11*U11</f>
        <v/>
      </c>
      <c r="N11" s="17">
        <f>L11-M11</f>
        <v/>
      </c>
      <c r="O11" s="18">
        <f>N11/M11</f>
        <v/>
      </c>
      <c r="P11" s="17">
        <f>41.4+41.4</f>
        <v/>
      </c>
      <c r="Q11" s="17">
        <f>N11+P11</f>
        <v/>
      </c>
      <c r="R11" s="18">
        <f>Q11/M11</f>
        <v/>
      </c>
      <c r="S11" s="18">
        <f>K11*R11</f>
        <v/>
      </c>
      <c r="T11" s="25" t="n">
        <v>7.94</v>
      </c>
      <c r="U11" s="25" t="n">
        <v>7.76</v>
      </c>
      <c r="V11" s="26" t="n">
        <v>460</v>
      </c>
      <c r="W11" s="22" t="inlineStr">
        <is>
          <t>Inflação + Spread. Títulos de dívida imobiliária high grade.</t>
        </is>
      </c>
    </row>
    <row r="12" ht="50.25" customHeight="1" s="94">
      <c r="A12" s="10" t="inlineStr">
        <is>
          <t>FIAGRO (RENDA TERRA)</t>
        </is>
      </c>
      <c r="B12" s="11" t="inlineStr">
        <is>
          <t>RZTR11</t>
        </is>
      </c>
      <c r="C12" s="12" t="inlineStr">
        <is>
          <t>Riza Terrax (Terras)</t>
        </is>
      </c>
      <c r="D12" s="12" t="inlineStr">
        <is>
          <t>Fundos de Investimentos</t>
        </is>
      </c>
      <c r="E12" s="12" t="inlineStr">
        <is>
          <t>Imobiliário</t>
        </is>
      </c>
      <c r="F12" s="12" t="inlineStr">
        <is>
          <t>Terra</t>
        </is>
      </c>
      <c r="G12" s="12" t="inlineStr">
        <is>
          <t>Terra Agrícola (soja)</t>
        </is>
      </c>
      <c r="H12" s="13" t="n"/>
      <c r="I12" s="14" t="n"/>
      <c r="J12" s="15">
        <f>L12/L39</f>
        <v/>
      </c>
      <c r="K12" s="13">
        <f>M12/M39</f>
        <v/>
      </c>
      <c r="L12" s="24">
        <f>V12*T12</f>
        <v/>
      </c>
      <c r="M12" s="19">
        <f>V12*U12</f>
        <v/>
      </c>
      <c r="N12" s="17">
        <f>L12-M12</f>
        <v/>
      </c>
      <c r="O12" s="18">
        <f>N12/M12</f>
        <v/>
      </c>
      <c r="P12" s="17" t="n">
        <v>112</v>
      </c>
      <c r="Q12" s="17">
        <f>N12+P12</f>
        <v/>
      </c>
      <c r="R12" s="18">
        <f>Q12/M12</f>
        <v/>
      </c>
      <c r="S12" s="18">
        <f>K12*R12</f>
        <v/>
      </c>
      <c r="T12" s="25" t="n">
        <v>94.03</v>
      </c>
      <c r="U12" s="25" t="n">
        <v>96.98999999999999</v>
      </c>
      <c r="V12" s="26" t="n">
        <v>56</v>
      </c>
      <c r="W12" s="22" t="inlineStr">
        <is>
          <t>Renda da Terra. Investimento em terras agrícolas produtivas (Land Banking). Captura a valorização real do solo e arrendamentos.</t>
        </is>
      </c>
    </row>
    <row r="13" ht="56.25" customHeight="1" s="94">
      <c r="A13" s="10" t="inlineStr">
        <is>
          <t>FIAGRO (RENDA TERRA)</t>
        </is>
      </c>
      <c r="B13" s="11" t="inlineStr">
        <is>
          <t>KNCA11</t>
        </is>
      </c>
      <c r="C13" s="12" t="inlineStr">
        <is>
          <t>Kinea Crédito Agro</t>
        </is>
      </c>
      <c r="D13" s="12" t="inlineStr">
        <is>
          <t>Fundos de Investimentos</t>
        </is>
      </c>
      <c r="E13" s="12" t="inlineStr">
        <is>
          <t>Agrícola</t>
        </is>
      </c>
      <c r="F13" s="12" t="inlineStr">
        <is>
          <t>Dívida Agrícola (CRAs)</t>
        </is>
      </c>
      <c r="G13" s="12" t="inlineStr">
        <is>
          <t>Juros (Selic)</t>
        </is>
      </c>
      <c r="H13" s="13" t="n"/>
      <c r="I13" s="14" t="n"/>
      <c r="J13" s="15">
        <f>L13/L39</f>
        <v/>
      </c>
      <c r="K13" s="13">
        <f>M13/M39</f>
        <v/>
      </c>
      <c r="L13" s="24">
        <f>V13*T13</f>
        <v/>
      </c>
      <c r="M13" s="19">
        <f>V13*U13</f>
        <v/>
      </c>
      <c r="N13" s="17">
        <f>L13-M13</f>
        <v/>
      </c>
      <c r="O13" s="18">
        <f>N13/M13</f>
        <v/>
      </c>
      <c r="P13" s="17" t="n">
        <v>157.5</v>
      </c>
      <c r="Q13" s="17">
        <f>N13+P13</f>
        <v/>
      </c>
      <c r="R13" s="18">
        <f>Q13/M13</f>
        <v/>
      </c>
      <c r="S13" s="18">
        <f>K13*R13</f>
        <v/>
      </c>
      <c r="T13" s="25" t="n">
        <v>95.2</v>
      </c>
      <c r="U13" s="25" t="n">
        <v>96.98</v>
      </c>
      <c r="V13" s="26" t="n">
        <v>75</v>
      </c>
      <c r="W13" s="22" t="inlineStr">
        <is>
          <t>Inflação + Spread. Títulos de dívida agrícola.</t>
        </is>
      </c>
    </row>
    <row r="14" ht="54.75" customHeight="1" s="94">
      <c r="A14" s="10" t="inlineStr">
        <is>
          <t>AÇÕES - VALOR</t>
        </is>
      </c>
      <c r="B14" s="11" t="inlineStr">
        <is>
          <t>UGPA3</t>
        </is>
      </c>
      <c r="C14" s="12" t="inlineStr">
        <is>
          <t>Ultrapar Participações S.A.</t>
        </is>
      </c>
      <c r="D14" s="12" t="inlineStr">
        <is>
          <t>Ações</t>
        </is>
      </c>
      <c r="E14" s="12" t="inlineStr">
        <is>
          <t>Consumo Cíclico</t>
        </is>
      </c>
      <c r="F14" s="12" t="inlineStr">
        <is>
          <t>Comércio</t>
        </is>
      </c>
      <c r="G14" s="12" t="inlineStr">
        <is>
          <t>Petróleo, Gás e Biocombustíveis</t>
        </is>
      </c>
      <c r="H14" s="13" t="n"/>
      <c r="I14" s="31" t="n"/>
      <c r="J14" s="15">
        <f>L14/L39</f>
        <v/>
      </c>
      <c r="K14" s="13">
        <f>M14/M39</f>
        <v/>
      </c>
      <c r="L14" s="24">
        <f>V14*T14</f>
        <v/>
      </c>
      <c r="M14" s="19">
        <f>V14*U14</f>
        <v/>
      </c>
      <c r="N14" s="17">
        <f>L14-M14</f>
        <v/>
      </c>
      <c r="O14" s="18">
        <f>N14/M14</f>
        <v/>
      </c>
      <c r="P14" s="17">
        <f>62.5+437.54</f>
        <v/>
      </c>
      <c r="Q14" s="17">
        <f>N14+P14</f>
        <v/>
      </c>
      <c r="R14" s="18">
        <f>Q14/M14</f>
        <v/>
      </c>
      <c r="S14" s="18">
        <f>K14*R14</f>
        <v/>
      </c>
      <c r="T14" s="25" t="n">
        <v>27.42</v>
      </c>
      <c r="U14" s="25" t="n">
        <v>23.47</v>
      </c>
      <c r="V14" s="26" t="n">
        <v>150</v>
      </c>
      <c r="W14" s="32" t="n"/>
    </row>
    <row r="15" ht="53.25" customHeight="1" s="94">
      <c r="A15" s="33" t="inlineStr">
        <is>
          <t>AÇÕES - QUALIDADE</t>
        </is>
      </c>
      <c r="B15" s="11" t="inlineStr">
        <is>
          <t>LREN3</t>
        </is>
      </c>
      <c r="C15" s="12" t="inlineStr">
        <is>
          <t>Lojas Renner</t>
        </is>
      </c>
      <c r="D15" s="12" t="inlineStr">
        <is>
          <t>Ações</t>
        </is>
      </c>
      <c r="E15" s="12" t="inlineStr">
        <is>
          <t>Consumo Cíclico</t>
        </is>
      </c>
      <c r="F15" s="12" t="inlineStr">
        <is>
          <t>Comércio</t>
        </is>
      </c>
      <c r="G15" s="12" t="inlineStr">
        <is>
          <t>Tecidos. Vestuário e Calçados</t>
        </is>
      </c>
      <c r="H15" s="13" t="n"/>
      <c r="I15" s="31" t="n"/>
      <c r="J15" s="15">
        <f>L15/L39</f>
        <v/>
      </c>
      <c r="K15" s="13">
        <f>M15/M39</f>
        <v/>
      </c>
      <c r="L15" s="24">
        <f>V15*T15</f>
        <v/>
      </c>
      <c r="M15" s="19">
        <f>V15*U15</f>
        <v/>
      </c>
      <c r="N15" s="17">
        <f>L15-M15</f>
        <v/>
      </c>
      <c r="O15" s="18">
        <f>N15/M15</f>
        <v/>
      </c>
      <c r="P15" s="17">
        <f>43.03+219.1+63.89</f>
        <v/>
      </c>
      <c r="Q15" s="17">
        <f>N15+P15</f>
        <v/>
      </c>
      <c r="R15" s="18">
        <f>Q15/M15</f>
        <v/>
      </c>
      <c r="S15" s="18">
        <f>K15*R15</f>
        <v/>
      </c>
      <c r="T15" s="25" t="n">
        <v>15.66</v>
      </c>
      <c r="U15" s="25" t="n">
        <v>11.53</v>
      </c>
      <c r="V15" s="26" t="n">
        <v>250</v>
      </c>
      <c r="W15" s="34" t="inlineStr">
        <is>
          <t xml:space="preserve">	
Ganho de capital via eficiência operacional. Loja de departamentos de moda atual e acessível. Maior varejista de moda do Brasil. (600+ lojas espalhadas pelo Brasil). Presença no ecomerce.</t>
        </is>
      </c>
    </row>
    <row r="16" ht="53.25" customHeight="1" s="94">
      <c r="A16" s="33" t="inlineStr">
        <is>
          <t>AÇÕES - QUALIDADE</t>
        </is>
      </c>
      <c r="B16" s="11" t="inlineStr">
        <is>
          <t>ITSA4</t>
        </is>
      </c>
      <c r="C16" s="12" t="inlineStr">
        <is>
          <t>Itaúsa</t>
        </is>
      </c>
      <c r="D16" s="12" t="inlineStr">
        <is>
          <t>Ações</t>
        </is>
      </c>
      <c r="E16" s="35" t="inlineStr">
        <is>
          <t>Financeiro</t>
        </is>
      </c>
      <c r="F16" s="35" t="inlineStr">
        <is>
          <t>Financeiro</t>
        </is>
      </c>
      <c r="G16" s="12" t="inlineStr">
        <is>
          <t>Holdings Diversificadas</t>
        </is>
      </c>
      <c r="H16" s="31" t="n"/>
      <c r="I16" s="31" t="n"/>
      <c r="J16" s="15">
        <f>L16/L39</f>
        <v/>
      </c>
      <c r="K16" s="13">
        <f>M16/M39</f>
        <v/>
      </c>
      <c r="L16" s="24">
        <f>V16*T16</f>
        <v/>
      </c>
      <c r="M16" s="19">
        <f>V16*U16</f>
        <v/>
      </c>
      <c r="N16" s="17">
        <f>L16-M16</f>
        <v/>
      </c>
      <c r="O16" s="18">
        <f>N16/M16</f>
        <v/>
      </c>
      <c r="P16" s="17">
        <f>21.84+62.41+78.38+127.77</f>
        <v/>
      </c>
      <c r="Q16" s="17">
        <f>N16+P16</f>
        <v/>
      </c>
      <c r="R16" s="18">
        <f>Q16/M16</f>
        <v/>
      </c>
      <c r="S16" s="18">
        <f>K16*R16</f>
        <v/>
      </c>
      <c r="T16" s="25" t="n">
        <v>13.57</v>
      </c>
      <c r="U16" s="25" t="n">
        <v>13.35</v>
      </c>
      <c r="V16" s="26" t="n">
        <v>250</v>
      </c>
      <c r="W16" s="34" t="n"/>
    </row>
    <row r="17" ht="51.75" customHeight="1" s="94">
      <c r="A17" s="33" t="inlineStr">
        <is>
          <t>AÇÕES - QUALIDADE</t>
        </is>
      </c>
      <c r="B17" s="11" t="inlineStr">
        <is>
          <t>FLRY3</t>
        </is>
      </c>
      <c r="C17" s="12" t="inlineStr">
        <is>
          <t>Fleury S.A.</t>
        </is>
      </c>
      <c r="D17" s="12" t="inlineStr">
        <is>
          <t>Ações</t>
        </is>
      </c>
      <c r="E17" s="12" t="inlineStr">
        <is>
          <t>Utilidade Pública</t>
        </is>
      </c>
      <c r="F17" s="12" t="inlineStr">
        <is>
          <t>Saúde</t>
        </is>
      </c>
      <c r="G17" s="35" t="inlineStr">
        <is>
          <t>Serv.Méd.Hospit..Análises e Diagnósticos</t>
        </is>
      </c>
      <c r="H17" s="31" t="n"/>
      <c r="I17" s="31" t="n"/>
      <c r="J17" s="15">
        <f>L17/L39</f>
        <v/>
      </c>
      <c r="K17" s="13">
        <f>M17/M39</f>
        <v/>
      </c>
      <c r="L17" s="24">
        <f>V17*T17</f>
        <v/>
      </c>
      <c r="M17" s="19">
        <f>V17*U17</f>
        <v/>
      </c>
      <c r="N17" s="17">
        <f>L17-M17</f>
        <v/>
      </c>
      <c r="O17" s="18">
        <f>N17/M17</f>
        <v/>
      </c>
      <c r="P17" s="17">
        <f>48.84+52.79+21.06+35.13+52.96</f>
        <v/>
      </c>
      <c r="Q17" s="17">
        <f>N17+P17</f>
        <v/>
      </c>
      <c r="R17" s="18">
        <f>Q17/M17</f>
        <v/>
      </c>
      <c r="S17" s="13">
        <f>K17*R17</f>
        <v/>
      </c>
      <c r="T17" s="25" t="n">
        <v>15.56</v>
      </c>
      <c r="U17" s="25" t="n">
        <v>22.76</v>
      </c>
      <c r="V17" s="26" t="n">
        <v>57</v>
      </c>
      <c r="W17" s="34" t="inlineStr">
        <is>
          <t>Defesa no setor de saúde (demanda inelástica). Empresa de diagnósticos consolidada, com boa abragência nacional (500+ Laboratórios espalhados pelo Brasil).</t>
        </is>
      </c>
    </row>
    <row r="18" ht="50.25" customHeight="1" s="94">
      <c r="A18" s="33" t="inlineStr">
        <is>
          <t>AÇÕES - QUALIDADE</t>
        </is>
      </c>
      <c r="B18" s="11" t="inlineStr">
        <is>
          <t>VIVA3</t>
        </is>
      </c>
      <c r="C18" s="12" t="inlineStr">
        <is>
          <t>Vivara Participacoes S.A.</t>
        </is>
      </c>
      <c r="D18" s="12" t="inlineStr">
        <is>
          <t>Ações</t>
        </is>
      </c>
      <c r="E18" s="12" t="inlineStr">
        <is>
          <t>Consumo Cíclico</t>
        </is>
      </c>
      <c r="F18" s="12" t="inlineStr">
        <is>
          <t>Comércio</t>
        </is>
      </c>
      <c r="G18" s="12" t="inlineStr">
        <is>
          <t>Tecidos. Vestuário e Calçados</t>
        </is>
      </c>
      <c r="H18" s="31" t="n"/>
      <c r="I18" s="31" t="n"/>
      <c r="J18" s="15">
        <f>L18/L39</f>
        <v/>
      </c>
      <c r="K18" s="13">
        <f>M18/M39</f>
        <v/>
      </c>
      <c r="L18" s="24">
        <f>V18*T18</f>
        <v/>
      </c>
      <c r="M18" s="19">
        <f>V18*U18</f>
        <v/>
      </c>
      <c r="N18" s="17">
        <f>L18-M18</f>
        <v/>
      </c>
      <c r="O18" s="18">
        <f>N18/M18</f>
        <v/>
      </c>
      <c r="P18" s="17">
        <f>135.77</f>
        <v/>
      </c>
      <c r="Q18" s="17">
        <f>N18+P18</f>
        <v/>
      </c>
      <c r="R18" s="18">
        <f>Q18/M18</f>
        <v/>
      </c>
      <c r="S18" s="18">
        <f>K18*R18</f>
        <v/>
      </c>
      <c r="T18" s="25" t="n">
        <v>26.64</v>
      </c>
      <c r="U18" s="25" t="n">
        <v>25.84933333</v>
      </c>
      <c r="V18" s="26" t="n">
        <v>150</v>
      </c>
      <c r="W18" s="34" t="inlineStr">
        <is>
          <t xml:space="preserve">	
Consumo de alta renda (resiliência).</t>
        </is>
      </c>
    </row>
    <row r="19" ht="50.25" customHeight="1" s="94">
      <c r="A19" s="10" t="inlineStr">
        <is>
          <t>AÇÕES - COMMODITY</t>
        </is>
      </c>
      <c r="B19" s="11" t="inlineStr">
        <is>
          <t>VALE3</t>
        </is>
      </c>
      <c r="C19" s="12" t="inlineStr">
        <is>
          <t>Vale</t>
        </is>
      </c>
      <c r="D19" s="12" t="inlineStr">
        <is>
          <t>Ações</t>
        </is>
      </c>
      <c r="E19" s="12" t="inlineStr">
        <is>
          <t>Materiais Básicos</t>
        </is>
      </c>
      <c r="F19" s="12" t="inlineStr">
        <is>
          <t>Mineração</t>
        </is>
      </c>
      <c r="G19" s="12" t="inlineStr">
        <is>
          <t>Minerais Metálicos</t>
        </is>
      </c>
      <c r="H19" s="13" t="n"/>
      <c r="I19" s="14" t="n"/>
      <c r="J19" s="15">
        <f>L19/L39</f>
        <v/>
      </c>
      <c r="K19" s="13">
        <f>M19/M39</f>
        <v/>
      </c>
      <c r="L19" s="24">
        <f>V19*T19</f>
        <v/>
      </c>
      <c r="M19" s="19">
        <f>V19*U19</f>
        <v/>
      </c>
      <c r="N19" s="17">
        <f>L19-M19</f>
        <v/>
      </c>
      <c r="O19" s="18">
        <f>N19/M19</f>
        <v/>
      </c>
      <c r="P19" s="17">
        <f>151.54+189.53+220.26+406.95+324.58</f>
        <v/>
      </c>
      <c r="Q19" s="17">
        <f>N19+P19</f>
        <v/>
      </c>
      <c r="R19" s="18">
        <f>Q19/M19</f>
        <v/>
      </c>
      <c r="S19" s="18">
        <f>K19*R19</f>
        <v/>
      </c>
      <c r="T19" s="25" t="n">
        <v>77.48999999999999</v>
      </c>
      <c r="U19" s="25" t="n">
        <v>71.12350000000001</v>
      </c>
      <c r="V19" s="26" t="n">
        <v>100</v>
      </c>
      <c r="W19" s="34" t="inlineStr">
        <is>
          <t>Recurso Natural. Hedge cambial natural (receita em dólar). Proteção contra desdolarização via ativo real (minério de ferro etc). Empresa global.</t>
        </is>
      </c>
      <c r="Z19" s="12" t="inlineStr">
        <is>
          <t xml:space="preserve"> </t>
        </is>
      </c>
    </row>
    <row r="20" ht="48.75" customHeight="1" s="94">
      <c r="A20" s="10" t="inlineStr">
        <is>
          <t>AÇÕES - COMMODITY</t>
        </is>
      </c>
      <c r="B20" s="11" t="inlineStr">
        <is>
          <t>PETR4</t>
        </is>
      </c>
      <c r="C20" s="12" t="inlineStr">
        <is>
          <t>Petrobras</t>
        </is>
      </c>
      <c r="D20" s="12" t="inlineStr">
        <is>
          <t>Ações</t>
        </is>
      </c>
      <c r="E20" s="12" t="inlineStr">
        <is>
          <t>Petróleo, Gás e Biocombustíveis</t>
        </is>
      </c>
      <c r="F20" s="12" t="inlineStr">
        <is>
          <t>Petróleo. Gás e Biocombustíveis</t>
        </is>
      </c>
      <c r="G20" s="12" t="inlineStr">
        <is>
          <t>Exploração. Refino e Distribuição</t>
        </is>
      </c>
      <c r="H20" s="31" t="n"/>
      <c r="I20" s="31" t="n"/>
      <c r="J20" s="15">
        <f>L20/L39</f>
        <v/>
      </c>
      <c r="K20" s="13">
        <f>M20/M39</f>
        <v/>
      </c>
      <c r="L20" s="24">
        <f>V20*T20</f>
        <v/>
      </c>
      <c r="M20" s="19">
        <f>V20*U20</f>
        <v/>
      </c>
      <c r="N20" s="17">
        <f>L20-M20</f>
        <v/>
      </c>
      <c r="O20" s="18">
        <f>N20/M20</f>
        <v/>
      </c>
      <c r="P20" s="17">
        <f>499.91+1400+678.07+252.63+71.68+17.9 + 9.57</f>
        <v/>
      </c>
      <c r="Q20" s="17">
        <f>N20+P20</f>
        <v/>
      </c>
      <c r="R20" s="18">
        <f>Q20/M20</f>
        <v/>
      </c>
      <c r="S20" s="18">
        <f>K20*R20</f>
        <v/>
      </c>
      <c r="T20" s="25" t="n">
        <v>46.03</v>
      </c>
      <c r="U20" s="25" t="n">
        <v>39.6496</v>
      </c>
      <c r="V20" s="26" t="n">
        <v>100</v>
      </c>
      <c r="W20" s="34" t="inlineStr">
        <is>
          <t>Defesa e dividendos. Líder mundial em tecnologia de extração profunda. Empresa global.</t>
        </is>
      </c>
    </row>
    <row r="21" ht="46.5" customHeight="1" s="94">
      <c r="A21" s="10" t="inlineStr">
        <is>
          <t>AÇÕES - COMMODITY</t>
        </is>
      </c>
      <c r="B21" s="11" t="inlineStr">
        <is>
          <t>SUZB3</t>
        </is>
      </c>
      <c r="C21" s="12" t="inlineStr">
        <is>
          <t>Suzano Papel e Celulose</t>
        </is>
      </c>
      <c r="D21" s="12" t="inlineStr">
        <is>
          <t>Ações</t>
        </is>
      </c>
      <c r="E21" s="12" t="inlineStr">
        <is>
          <t>Materiais Básicos</t>
        </is>
      </c>
      <c r="F21" s="12" t="inlineStr">
        <is>
          <t>Madeira e Papel</t>
        </is>
      </c>
      <c r="G21" s="12" t="inlineStr">
        <is>
          <t>Papel e Celulose</t>
        </is>
      </c>
      <c r="H21" s="31" t="n"/>
      <c r="I21" s="31" t="n"/>
      <c r="J21" s="15">
        <f>L21/L39</f>
        <v/>
      </c>
      <c r="K21" s="13">
        <f>M21/M39</f>
        <v/>
      </c>
      <c r="L21" s="24">
        <f>V21*T21</f>
        <v/>
      </c>
      <c r="M21" s="19">
        <f>V21*U21</f>
        <v/>
      </c>
      <c r="N21" s="17">
        <f>L21-M21</f>
        <v/>
      </c>
      <c r="O21" s="18">
        <f>N21/M21</f>
        <v/>
      </c>
      <c r="P21" s="17">
        <f>60.01+39.08</f>
        <v/>
      </c>
      <c r="Q21" s="17">
        <f>N21+P21</f>
        <v/>
      </c>
      <c r="R21" s="18">
        <f>Q21/M21</f>
        <v/>
      </c>
      <c r="S21" s="13">
        <f>K21*R21</f>
        <v/>
      </c>
      <c r="T21" s="25" t="n">
        <v>51.62</v>
      </c>
      <c r="U21" s="25" t="n">
        <v>56.64</v>
      </c>
      <c r="V21" s="26" t="n">
        <v>35</v>
      </c>
      <c r="W21" s="36" t="inlineStr">
        <is>
          <t>Diversificar o risco mineral/petróleo para o risco agrícola/florestal.</t>
        </is>
      </c>
    </row>
    <row r="22" ht="48.75" customHeight="1" s="94">
      <c r="A22" s="33" t="inlineStr">
        <is>
          <t>AÇÕES - UTILIDADE</t>
        </is>
      </c>
      <c r="B22" s="11" t="inlineStr">
        <is>
          <t>TIMS3</t>
        </is>
      </c>
      <c r="C22" s="12" t="inlineStr">
        <is>
          <t>Tim Brasil</t>
        </is>
      </c>
      <c r="D22" s="12" t="inlineStr">
        <is>
          <t>Ações</t>
        </is>
      </c>
      <c r="E22" s="12" t="inlineStr">
        <is>
          <t>Utilidade Pública</t>
        </is>
      </c>
      <c r="F22" s="12" t="inlineStr">
        <is>
          <t>Telecomunicações</t>
        </is>
      </c>
      <c r="G22" s="12" t="inlineStr">
        <is>
          <t>Telecomunicações</t>
        </is>
      </c>
      <c r="H22" s="31" t="n"/>
      <c r="I22" s="31" t="n"/>
      <c r="J22" s="15">
        <f>L22/L39</f>
        <v/>
      </c>
      <c r="K22" s="13">
        <f>M22/M39</f>
        <v/>
      </c>
      <c r="L22" s="24">
        <f>V22*T22</f>
        <v/>
      </c>
      <c r="M22" s="19">
        <f>V22*U22</f>
        <v/>
      </c>
      <c r="N22" s="17">
        <f>L22-M22</f>
        <v/>
      </c>
      <c r="O22" s="18">
        <f>N22/M22</f>
        <v/>
      </c>
      <c r="P22" s="17">
        <f>10.54+211.26+16.96</f>
        <v/>
      </c>
      <c r="Q22" s="17">
        <f>N22+P22</f>
        <v/>
      </c>
      <c r="R22" s="18">
        <f>Q22/M22</f>
        <v/>
      </c>
      <c r="S22" s="18">
        <f>K22*R22</f>
        <v/>
      </c>
      <c r="T22" s="25" t="n">
        <v>26.92</v>
      </c>
      <c r="U22" s="25" t="n">
        <v>17.23</v>
      </c>
      <c r="V22" s="26" t="n">
        <v>100</v>
      </c>
      <c r="W22" s="36" t="inlineStr">
        <is>
          <t>Defesa e dividendos (setor perene). Escala nacional.</t>
        </is>
      </c>
    </row>
    <row r="23" ht="48" customHeight="1" s="94">
      <c r="A23" s="33" t="inlineStr">
        <is>
          <t>AÇÕES - UTILIDADE</t>
        </is>
      </c>
      <c r="B23" s="11" t="inlineStr">
        <is>
          <t>MOTV3</t>
        </is>
      </c>
      <c r="C23" s="12" t="inlineStr">
        <is>
          <t>Motiva</t>
        </is>
      </c>
      <c r="D23" s="12" t="inlineStr">
        <is>
          <t>Ações</t>
        </is>
      </c>
      <c r="E23" s="12" t="inlineStr">
        <is>
          <t>Utilidade Pública</t>
        </is>
      </c>
      <c r="F23" s="12" t="inlineStr">
        <is>
          <t>Transporte</t>
        </is>
      </c>
      <c r="G23" s="12" t="inlineStr">
        <is>
          <t>Exploração de Rodovias</t>
        </is>
      </c>
      <c r="H23" s="31" t="n"/>
      <c r="I23" s="31" t="n"/>
      <c r="J23" s="15">
        <f>L23/L39</f>
        <v/>
      </c>
      <c r="K23" s="13">
        <f>M23/M39</f>
        <v/>
      </c>
      <c r="L23" s="24">
        <f>V23*T23</f>
        <v/>
      </c>
      <c r="M23" s="19">
        <f>V23*U23</f>
        <v/>
      </c>
      <c r="N23" s="17">
        <f>L23-M23</f>
        <v/>
      </c>
      <c r="O23" s="18">
        <f>N23/M23</f>
        <v/>
      </c>
      <c r="P23" s="17">
        <f>15.11+15.91+32.56</f>
        <v/>
      </c>
      <c r="Q23" s="17">
        <f>N23+P23</f>
        <v/>
      </c>
      <c r="R23" s="18">
        <f>Q23/M23</f>
        <v/>
      </c>
      <c r="S23" s="18">
        <f>K23*R23</f>
        <v/>
      </c>
      <c r="T23" s="25" t="n">
        <v>15.53</v>
      </c>
      <c r="U23" s="25" t="n">
        <v>13.42</v>
      </c>
      <c r="V23" s="26" t="n">
        <v>100</v>
      </c>
      <c r="W23" s="34" t="inlineStr">
        <is>
          <t xml:space="preserve">	
Ampla atuação em concessões de transportes e infraestrutura (setor perene). Escala nacional. </t>
        </is>
      </c>
    </row>
    <row r="24" ht="47.25" customHeight="1" s="94">
      <c r="A24" s="33" t="inlineStr">
        <is>
          <t>AÇÕES - UTILIDADE</t>
        </is>
      </c>
      <c r="B24" s="11" t="inlineStr">
        <is>
          <t>CMIG4</t>
        </is>
      </c>
      <c r="C24" s="12" t="inlineStr">
        <is>
          <t>Companhia Energética de Minas Gerais</t>
        </is>
      </c>
      <c r="D24" s="12" t="inlineStr">
        <is>
          <t>Ações</t>
        </is>
      </c>
      <c r="E24" s="12" t="inlineStr">
        <is>
          <t>Utilidade Pública</t>
        </is>
      </c>
      <c r="F24" s="12" t="inlineStr">
        <is>
          <t>Energia Elétrica</t>
        </is>
      </c>
      <c r="G24" s="12" t="inlineStr">
        <is>
          <t>Energia Elétrica</t>
        </is>
      </c>
      <c r="H24" s="31" t="n"/>
      <c r="I24" s="31" t="n"/>
      <c r="J24" s="15">
        <f>L24/L39</f>
        <v/>
      </c>
      <c r="K24" s="13">
        <f>M24/M39</f>
        <v/>
      </c>
      <c r="L24" s="24">
        <f>V24*T24</f>
        <v/>
      </c>
      <c r="M24" s="19">
        <f>V24*U24</f>
        <v/>
      </c>
      <c r="N24" s="17">
        <f>L24-M24</f>
        <v/>
      </c>
      <c r="O24" s="18">
        <f>N24/M24</f>
        <v/>
      </c>
      <c r="P24" s="17">
        <f>99.27+222.33</f>
        <v/>
      </c>
      <c r="Q24" s="17">
        <f>N24+P24</f>
        <v/>
      </c>
      <c r="R24" s="18">
        <f>Q24/M24</f>
        <v/>
      </c>
      <c r="S24" s="18">
        <f>K24*R24</f>
        <v/>
      </c>
      <c r="T24" s="25" t="n">
        <v>12.46</v>
      </c>
      <c r="U24" s="25" t="n">
        <v>11.0746</v>
      </c>
      <c r="V24" s="26" t="n">
        <v>300</v>
      </c>
      <c r="W24" s="22" t="inlineStr">
        <is>
          <t>Defesa e dividendos.</t>
        </is>
      </c>
    </row>
    <row r="25" ht="48.75" customHeight="1" s="94">
      <c r="A25" s="33" t="inlineStr">
        <is>
          <t>AÇÕES - UTILIDADE</t>
        </is>
      </c>
      <c r="B25" s="11" t="inlineStr">
        <is>
          <t>AXIA7</t>
        </is>
      </c>
      <c r="C25" s="12" t="inlineStr">
        <is>
          <t>Centrais Eletricas Brasilrs SA - Eltrbrs</t>
        </is>
      </c>
      <c r="D25" s="12" t="inlineStr">
        <is>
          <t>Ações</t>
        </is>
      </c>
      <c r="E25" s="12" t="inlineStr">
        <is>
          <t>Utilidade Pública</t>
        </is>
      </c>
      <c r="F25" s="12" t="inlineStr">
        <is>
          <t>Energia Elétrica</t>
        </is>
      </c>
      <c r="G25" s="12" t="inlineStr">
        <is>
          <t>Energia Elétrica</t>
        </is>
      </c>
      <c r="H25" s="31" t="n"/>
      <c r="I25" s="31" t="n"/>
      <c r="J25" s="15">
        <f>L25/L39</f>
        <v/>
      </c>
      <c r="K25" s="13">
        <f>M25/M39</f>
        <v/>
      </c>
      <c r="L25" s="24">
        <f>V25*T25</f>
        <v/>
      </c>
      <c r="M25" s="19">
        <f>V25*U25</f>
        <v/>
      </c>
      <c r="N25" s="17">
        <f>L25-M25</f>
        <v/>
      </c>
      <c r="O25" s="18">
        <f>N25/M25</f>
        <v/>
      </c>
      <c r="P25" s="19" t="n">
        <v>0</v>
      </c>
      <c r="Q25" s="17">
        <f>N25+P25</f>
        <v/>
      </c>
      <c r="R25" s="18">
        <f>Q25/M25</f>
        <v/>
      </c>
      <c r="S25" s="18">
        <f>K25*R25</f>
        <v/>
      </c>
      <c r="T25" s="25" t="n">
        <v>56.5</v>
      </c>
      <c r="U25" s="25" t="n">
        <v>30.03</v>
      </c>
      <c r="V25" s="26" t="n">
        <v>13</v>
      </c>
      <c r="W25" s="22" t="n"/>
    </row>
    <row r="26" ht="51" customHeight="1" s="94">
      <c r="A26" s="33" t="inlineStr">
        <is>
          <t>AÇÕES - UTILIDADE</t>
        </is>
      </c>
      <c r="B26" s="11" t="inlineStr">
        <is>
          <t>AXIA3</t>
        </is>
      </c>
      <c r="C26" s="12" t="inlineStr">
        <is>
          <t>Centrais Eletricas Brasilrs SA - Eltrbrs</t>
        </is>
      </c>
      <c r="D26" s="12" t="inlineStr">
        <is>
          <t>Ações</t>
        </is>
      </c>
      <c r="E26" s="12" t="inlineStr">
        <is>
          <t>Utilidade Pública</t>
        </is>
      </c>
      <c r="F26" s="12" t="inlineStr">
        <is>
          <t>Energia Elétrica</t>
        </is>
      </c>
      <c r="G26" s="12" t="inlineStr">
        <is>
          <t>Energia Elétrica</t>
        </is>
      </c>
      <c r="H26" s="31" t="n"/>
      <c r="I26" s="31" t="n"/>
      <c r="J26" s="15">
        <f>L26/L39</f>
        <v/>
      </c>
      <c r="K26" s="13">
        <f>M26/M39</f>
        <v/>
      </c>
      <c r="L26" s="24">
        <f>V26*T26</f>
        <v/>
      </c>
      <c r="M26" s="19">
        <f>V26*U26</f>
        <v/>
      </c>
      <c r="N26" s="17">
        <f>L26-M26</f>
        <v/>
      </c>
      <c r="O26" s="18">
        <f>N26/M26</f>
        <v/>
      </c>
      <c r="P26" s="17">
        <f>94.47+175.78</f>
        <v/>
      </c>
      <c r="Q26" s="17">
        <f>N26+P26</f>
        <v/>
      </c>
      <c r="R26" s="18">
        <f>Q26/M26</f>
        <v/>
      </c>
      <c r="S26" s="18">
        <f>K26*R26</f>
        <v/>
      </c>
      <c r="T26" s="25" t="n">
        <v>58.27</v>
      </c>
      <c r="U26" s="25" t="n">
        <v>30.03</v>
      </c>
      <c r="V26" s="26" t="n">
        <v>50</v>
      </c>
      <c r="W26" s="22" t="inlineStr">
        <is>
          <t>Defesa e dividendos.</t>
        </is>
      </c>
    </row>
    <row r="27" ht="51" customHeight="1" s="94">
      <c r="A27" s="33" t="inlineStr">
        <is>
          <t>AÇÕES - UTILIDADE</t>
        </is>
      </c>
      <c r="B27" s="11" t="inlineStr">
        <is>
          <t>SAPR11</t>
        </is>
      </c>
      <c r="C27" s="35" t="inlineStr">
        <is>
          <t>Sanepar - Companhia de Água e Esgotos do Paraná</t>
        </is>
      </c>
      <c r="D27" s="12" t="inlineStr">
        <is>
          <t>Ações</t>
        </is>
      </c>
      <c r="E27" s="12" t="inlineStr">
        <is>
          <t>Utilidade Pública</t>
        </is>
      </c>
      <c r="F27" s="12" t="inlineStr">
        <is>
          <t>Água e Saneamento</t>
        </is>
      </c>
      <c r="G27" s="12" t="inlineStr">
        <is>
          <t>Água e Saneamento</t>
        </is>
      </c>
      <c r="H27" s="31" t="n"/>
      <c r="I27" s="31" t="n"/>
      <c r="J27" s="15">
        <f>L27/L39</f>
        <v/>
      </c>
      <c r="K27" s="13">
        <f>M27/M39</f>
        <v/>
      </c>
      <c r="L27" s="24">
        <f>V27*T27</f>
        <v/>
      </c>
      <c r="M27" s="19">
        <f>V27*U27</f>
        <v/>
      </c>
      <c r="N27" s="17">
        <f>L27-M27</f>
        <v/>
      </c>
      <c r="O27" s="18">
        <f>N27/M27</f>
        <v/>
      </c>
      <c r="P27" s="19" t="n">
        <v>0</v>
      </c>
      <c r="Q27" s="17">
        <f>N27+P27</f>
        <v/>
      </c>
      <c r="R27" s="18">
        <f>Q27/M27</f>
        <v/>
      </c>
      <c r="S27" s="18">
        <f>K27*R27</f>
        <v/>
      </c>
      <c r="T27" s="25" t="n">
        <v>44.85</v>
      </c>
      <c r="U27" s="25" t="n">
        <v>39.89</v>
      </c>
      <c r="V27" s="26" t="n">
        <v>50</v>
      </c>
      <c r="W27" s="22" t="n"/>
    </row>
    <row r="28" ht="48" customHeight="1" s="94">
      <c r="A28" s="33" t="inlineStr">
        <is>
          <t>AÇÕES - SMALL CAP</t>
        </is>
      </c>
      <c r="B28" s="11" t="inlineStr">
        <is>
          <t>POMO4</t>
        </is>
      </c>
      <c r="C28" s="12" t="inlineStr">
        <is>
          <t>Marcopolo S.A.</t>
        </is>
      </c>
      <c r="D28" s="12" t="inlineStr">
        <is>
          <t>Ações</t>
        </is>
      </c>
      <c r="E28" s="12" t="inlineStr">
        <is>
          <t>Bens Industriais</t>
        </is>
      </c>
      <c r="F28" s="12" t="inlineStr">
        <is>
          <t>Material de Transporte</t>
        </is>
      </c>
      <c r="G28" s="12" t="inlineStr">
        <is>
          <t>Material Rodoviário</t>
        </is>
      </c>
      <c r="H28" s="31" t="n"/>
      <c r="I28" s="31" t="n"/>
      <c r="J28" s="15">
        <f>L28/L39</f>
        <v/>
      </c>
      <c r="K28" s="13">
        <f>M28/M39</f>
        <v/>
      </c>
      <c r="L28" s="24">
        <f>V28*T28</f>
        <v/>
      </c>
      <c r="M28" s="19">
        <f>V28*U28</f>
        <v/>
      </c>
      <c r="N28" s="17">
        <f>L28-M28</f>
        <v/>
      </c>
      <c r="O28" s="18">
        <f>N28/M28</f>
        <v/>
      </c>
      <c r="P28" s="17">
        <f>142.95+732.15</f>
        <v/>
      </c>
      <c r="Q28" s="17">
        <f>N28+P28</f>
        <v/>
      </c>
      <c r="R28" s="18">
        <f>Q28/M28</f>
        <v/>
      </c>
      <c r="S28" s="18">
        <f>K28*R28</f>
        <v/>
      </c>
      <c r="T28" s="25" t="n">
        <v>6.13</v>
      </c>
      <c r="U28" s="25" t="n">
        <v>5.7</v>
      </c>
      <c r="V28" s="26" t="n">
        <v>660</v>
      </c>
      <c r="W28" s="22" t="inlineStr">
        <is>
          <t xml:space="preserve">	
Exposição à retomada da indústria e exportação.</t>
        </is>
      </c>
    </row>
    <row r="29" ht="43.5" customHeight="1" s="94">
      <c r="A29" s="33" t="inlineStr">
        <is>
          <t>AÇÕES - SMALL CAP</t>
        </is>
      </c>
      <c r="B29" s="11" t="inlineStr">
        <is>
          <t>INTB3</t>
        </is>
      </c>
      <c r="C29" s="12" t="inlineStr">
        <is>
          <t>Intelbras</t>
        </is>
      </c>
      <c r="D29" s="12" t="inlineStr">
        <is>
          <t>Ações</t>
        </is>
      </c>
      <c r="E29" s="12" t="inlineStr">
        <is>
          <t>Tecnologia da Informação</t>
        </is>
      </c>
      <c r="F29" s="12" t="inlineStr">
        <is>
          <t>Computadores e Equipamentos</t>
        </is>
      </c>
      <c r="G29" s="12" t="inlineStr">
        <is>
          <t>Computadores e Equipamentos</t>
        </is>
      </c>
      <c r="H29" s="31" t="n"/>
      <c r="I29" s="31" t="n"/>
      <c r="J29" s="15">
        <f>L29/L39</f>
        <v/>
      </c>
      <c r="K29" s="13">
        <f>M29/M39</f>
        <v/>
      </c>
      <c r="L29" s="24">
        <f>V29*T29</f>
        <v/>
      </c>
      <c r="M29" s="19">
        <f>V29*U29</f>
        <v/>
      </c>
      <c r="N29" s="17">
        <f>L29-M29</f>
        <v/>
      </c>
      <c r="O29" s="18">
        <f>N29/M29</f>
        <v/>
      </c>
      <c r="P29" s="17">
        <f>18.58+140.26</f>
        <v/>
      </c>
      <c r="Q29" s="17">
        <f>N29+P29</f>
        <v/>
      </c>
      <c r="R29" s="18">
        <f>Q29/M29</f>
        <v/>
      </c>
      <c r="S29" s="13">
        <f>K29*R29</f>
        <v/>
      </c>
      <c r="T29" s="25" t="n">
        <v>14.72</v>
      </c>
      <c r="U29" s="25" t="n">
        <v>22.45</v>
      </c>
      <c r="V29" s="26" t="n">
        <v>100</v>
      </c>
      <c r="W29" s="22" t="inlineStr">
        <is>
          <t>Tecnologia aplicada e indústria (crescimento).</t>
        </is>
      </c>
    </row>
    <row r="30" ht="46.5" customHeight="1" s="94">
      <c r="A30" s="33" t="inlineStr">
        <is>
          <t>AÇÕES - SMALL CAP</t>
        </is>
      </c>
      <c r="B30" s="11" t="inlineStr">
        <is>
          <t>DIRR3</t>
        </is>
      </c>
      <c r="C30" s="12" t="inlineStr">
        <is>
          <t>Direcional Engenharia S.A.</t>
        </is>
      </c>
      <c r="D30" s="12" t="inlineStr">
        <is>
          <t>Ações</t>
        </is>
      </c>
      <c r="E30" s="12" t="inlineStr">
        <is>
          <t>Consumo Duráveis</t>
        </is>
      </c>
      <c r="F30" s="12" t="inlineStr">
        <is>
          <t>Construção Civil</t>
        </is>
      </c>
      <c r="G30" s="12" t="inlineStr">
        <is>
          <t>Incorporações</t>
        </is>
      </c>
      <c r="H30" s="31" t="n"/>
      <c r="I30" s="31" t="n"/>
      <c r="J30" s="15">
        <f>L30/L39</f>
        <v/>
      </c>
      <c r="K30" s="13">
        <f>M30/M39</f>
        <v/>
      </c>
      <c r="L30" s="24">
        <f>V30*T30</f>
        <v/>
      </c>
      <c r="M30" s="19">
        <f>V30*U30</f>
        <v/>
      </c>
      <c r="N30" s="17">
        <f>L30-M30</f>
        <v/>
      </c>
      <c r="O30" s="18">
        <f>N30/M30</f>
        <v/>
      </c>
      <c r="P30" s="17" t="n">
        <v>586.6</v>
      </c>
      <c r="Q30" s="17">
        <f>N30+P30</f>
        <v/>
      </c>
      <c r="R30" s="18">
        <f>Q30/M30</f>
        <v/>
      </c>
      <c r="S30" s="13">
        <f>K30*R30</f>
        <v/>
      </c>
      <c r="T30" s="25" t="n">
        <v>14.09</v>
      </c>
      <c r="U30" s="25" t="n">
        <v>8.82</v>
      </c>
      <c r="V30" s="26" t="n">
        <v>210</v>
      </c>
      <c r="W30" s="34" t="inlineStr">
        <is>
          <t>Small Cap que paga dividendos robustos, unindo crescimento e renda.</t>
        </is>
      </c>
    </row>
    <row r="31" ht="47.25" customHeight="1" s="94">
      <c r="A31" s="10" t="inlineStr">
        <is>
          <t>INTERNACIONAL</t>
        </is>
      </c>
      <c r="B31" s="11" t="inlineStr">
        <is>
          <t>IVVB11</t>
        </is>
      </c>
      <c r="C31" s="12" t="inlineStr">
        <is>
          <t>iShares S&amp;P 500</t>
        </is>
      </c>
      <c r="D31" s="12" t="inlineStr">
        <is>
          <t>Internacional</t>
        </is>
      </c>
      <c r="E31" s="35" t="inlineStr">
        <is>
          <t>Global Quality &amp; Tech</t>
        </is>
      </c>
      <c r="F31" s="35" t="inlineStr">
        <is>
          <t>índice</t>
        </is>
      </c>
      <c r="G31" s="35" t="inlineStr">
        <is>
          <t>S&amp;P 500</t>
        </is>
      </c>
      <c r="H31" s="13" t="n"/>
      <c r="I31" s="14" t="n"/>
      <c r="J31" s="15">
        <f>L31/L39</f>
        <v/>
      </c>
      <c r="K31" s="13">
        <f>M31/M39</f>
        <v/>
      </c>
      <c r="L31" s="24">
        <f>V31*T31</f>
        <v/>
      </c>
      <c r="M31" s="19">
        <f>V31*U31</f>
        <v/>
      </c>
      <c r="N31" s="17">
        <f>L31-M31</f>
        <v/>
      </c>
      <c r="O31" s="18">
        <f>N31/M31</f>
        <v/>
      </c>
      <c r="P31" s="19" t="n">
        <v>0</v>
      </c>
      <c r="Q31" s="17">
        <f>N31+P31</f>
        <v/>
      </c>
      <c r="R31" s="18">
        <f>Q31/M31</f>
        <v/>
      </c>
      <c r="S31" s="18">
        <f>K31*R31</f>
        <v/>
      </c>
      <c r="T31" s="25" t="n">
        <v>388</v>
      </c>
      <c r="U31" s="25" t="n">
        <v>420.99</v>
      </c>
      <c r="V31" s="26" t="n">
        <v>21</v>
      </c>
      <c r="W31" s="22" t="inlineStr">
        <is>
          <t>Sobrevivência. Exposição às 500 maiores empresas globais. Hedge contra o "Risco Brasil" e desvalorização do Real.</t>
        </is>
      </c>
    </row>
    <row r="32" ht="45" customHeight="1" s="94">
      <c r="A32" s="10" t="inlineStr">
        <is>
          <t>INTERNACIONAL</t>
        </is>
      </c>
      <c r="B32" s="11" t="inlineStr">
        <is>
          <t>USDB11</t>
        </is>
      </c>
      <c r="C32" s="12" t="inlineStr">
        <is>
          <t>INVESTO BLOOMBERG US BOND ETF</t>
        </is>
      </c>
      <c r="D32" s="12" t="inlineStr">
        <is>
          <t>Internacional</t>
        </is>
      </c>
      <c r="E32" s="12" t="inlineStr">
        <is>
          <t>Dívida Pública</t>
        </is>
      </c>
      <c r="F32" s="12" t="inlineStr">
        <is>
          <t>Juros (EUA)</t>
        </is>
      </c>
      <c r="G32" s="12" t="inlineStr">
        <is>
          <t>Juros (EUA)</t>
        </is>
      </c>
      <c r="H32" s="13" t="n"/>
      <c r="I32" s="14" t="n"/>
      <c r="J32" s="15">
        <f>L32/L39</f>
        <v/>
      </c>
      <c r="K32" s="13">
        <f>M32/M39</f>
        <v/>
      </c>
      <c r="L32" s="24">
        <f>V32*T32</f>
        <v/>
      </c>
      <c r="M32" s="19">
        <f>V32*U32</f>
        <v/>
      </c>
      <c r="N32" s="17">
        <f>L32-M32</f>
        <v/>
      </c>
      <c r="O32" s="18">
        <f>N32/M32</f>
        <v/>
      </c>
      <c r="P32" s="19" t="n">
        <v>0</v>
      </c>
      <c r="Q32" s="17">
        <f>N32+P32</f>
        <v/>
      </c>
      <c r="R32" s="18">
        <f>Q32/M32</f>
        <v/>
      </c>
      <c r="S32" s="18">
        <f>K32*R32</f>
        <v/>
      </c>
      <c r="T32" s="25" t="n">
        <v>100.65</v>
      </c>
      <c r="U32" s="25" t="n">
        <v>104.14</v>
      </c>
      <c r="V32" s="26" t="n">
        <v>52</v>
      </c>
      <c r="W32" s="22" t="n"/>
    </row>
    <row r="33" ht="45" customHeight="1" s="94">
      <c r="A33" s="10" t="inlineStr">
        <is>
          <t>INTERNACIONAL</t>
        </is>
      </c>
      <c r="B33" s="11" t="inlineStr">
        <is>
          <t>DOLA11</t>
        </is>
      </c>
      <c r="C33" s="35" t="inlineStr">
        <is>
          <t>BB ETF INDICE FUTURO DE DOLAR S&amp;P/B3 FDI</t>
        </is>
      </c>
      <c r="D33" s="12" t="inlineStr">
        <is>
          <t>Internacional</t>
        </is>
      </c>
      <c r="E33" s="12" t="inlineStr">
        <is>
          <t>Moeda</t>
        </is>
      </c>
      <c r="F33" s="12" t="inlineStr">
        <is>
          <t>Dólar</t>
        </is>
      </c>
      <c r="G33" s="12" t="inlineStr">
        <is>
          <t>Dólar</t>
        </is>
      </c>
      <c r="H33" s="13" t="n"/>
      <c r="I33" s="14" t="n"/>
      <c r="J33" s="15">
        <f>L33/L39</f>
        <v/>
      </c>
      <c r="K33" s="13">
        <f>M33/M39</f>
        <v/>
      </c>
      <c r="L33" s="24">
        <f>V33*T33</f>
        <v/>
      </c>
      <c r="M33" s="19">
        <f>V33*U33</f>
        <v/>
      </c>
      <c r="N33" s="17">
        <f>L33-M33</f>
        <v/>
      </c>
      <c r="O33" s="18">
        <f>N33/M33</f>
        <v/>
      </c>
      <c r="P33" s="19" t="n">
        <v>0</v>
      </c>
      <c r="Q33" s="17">
        <f>N33+P33</f>
        <v/>
      </c>
      <c r="R33" s="18">
        <f>Q33/M33</f>
        <v/>
      </c>
      <c r="S33" s="18">
        <f>K33*R33</f>
        <v/>
      </c>
      <c r="T33" s="25" t="n">
        <v>10.18</v>
      </c>
      <c r="U33" s="25" t="n">
        <v>10.25</v>
      </c>
      <c r="V33" s="26" t="n">
        <v>150</v>
      </c>
      <c r="W33" s="22" t="n"/>
    </row>
    <row r="34" ht="52.5" customHeight="1" s="94">
      <c r="A34" s="10" t="inlineStr">
        <is>
          <t>INTERNACIONAL</t>
        </is>
      </c>
      <c r="B34" s="11" t="inlineStr">
        <is>
          <t>XINA11</t>
        </is>
      </c>
      <c r="C34" s="12" t="inlineStr">
        <is>
          <t>Trend MSCI China</t>
        </is>
      </c>
      <c r="D34" s="12" t="inlineStr">
        <is>
          <t>Internacional</t>
        </is>
      </c>
      <c r="E34" s="35" t="inlineStr">
        <is>
          <t>Global Quality &amp; Tech</t>
        </is>
      </c>
      <c r="F34" s="35" t="inlineStr">
        <is>
          <t>índice</t>
        </is>
      </c>
      <c r="G34" s="12" t="inlineStr">
        <is>
          <t>MSCI China</t>
        </is>
      </c>
      <c r="H34" s="13" t="n"/>
      <c r="I34" s="14" t="n"/>
      <c r="J34" s="15">
        <f>L34/L39</f>
        <v/>
      </c>
      <c r="K34" s="13">
        <f>M34/M39</f>
        <v/>
      </c>
      <c r="L34" s="24">
        <f>V34*T34</f>
        <v/>
      </c>
      <c r="M34" s="19">
        <f>V34*U34</f>
        <v/>
      </c>
      <c r="N34" s="17">
        <f>L34-M34</f>
        <v/>
      </c>
      <c r="O34" s="18">
        <f>N34/M34</f>
        <v/>
      </c>
      <c r="P34" s="19" t="n">
        <v>0</v>
      </c>
      <c r="Q34" s="17">
        <f>N34+P34</f>
        <v/>
      </c>
      <c r="R34" s="18">
        <f>Q34/M34</f>
        <v/>
      </c>
      <c r="S34" s="18">
        <f>K34*R34</f>
        <v/>
      </c>
      <c r="T34" s="25" t="n">
        <v>7.53</v>
      </c>
      <c r="U34" s="25" t="n">
        <v>8.859999999999999</v>
      </c>
      <c r="V34" s="26" t="n">
        <v>1000</v>
      </c>
      <c r="W34" s="22" t="inlineStr">
        <is>
          <t>Hedge Geopolítico. Aposta na ascensão do Oriente e descorrelação com o ciclo econômico dos EUA/Ocidente.</t>
        </is>
      </c>
    </row>
    <row r="35" ht="41.25" customHeight="1" s="94">
      <c r="A35" s="10" t="inlineStr">
        <is>
          <t>INTERNACIONAL</t>
        </is>
      </c>
      <c r="B35" s="11" t="inlineStr">
        <is>
          <t>ROXO34</t>
        </is>
      </c>
      <c r="C35" s="12" t="inlineStr">
        <is>
          <t>Nubank BDR</t>
        </is>
      </c>
      <c r="D35" s="12" t="inlineStr">
        <is>
          <t>Internacional</t>
        </is>
      </c>
      <c r="E35" s="35" t="inlineStr">
        <is>
          <t>Global Quality &amp; Tech</t>
        </is>
      </c>
      <c r="F35" s="12" t="inlineStr">
        <is>
          <t>Financeiro</t>
        </is>
      </c>
      <c r="G35" s="12" t="inlineStr">
        <is>
          <t>Banco</t>
        </is>
      </c>
      <c r="H35" s="31" t="n"/>
      <c r="I35" s="31" t="n"/>
      <c r="J35" s="15">
        <f>L35/L39</f>
        <v/>
      </c>
      <c r="K35" s="13">
        <f>M35/M39</f>
        <v/>
      </c>
      <c r="L35" s="24">
        <f>V35*T35</f>
        <v/>
      </c>
      <c r="M35" s="19">
        <f>V35*U35</f>
        <v/>
      </c>
      <c r="N35" s="17">
        <f>L35-M35</f>
        <v/>
      </c>
      <c r="O35" s="18">
        <f>N35/M35</f>
        <v/>
      </c>
      <c r="P35" s="19" t="n">
        <v>0</v>
      </c>
      <c r="Q35" s="17">
        <f>N35+P35</f>
        <v/>
      </c>
      <c r="R35" s="18">
        <f>Q35/M35</f>
        <v/>
      </c>
      <c r="S35" s="18">
        <f>K35*R35</f>
        <v/>
      </c>
      <c r="T35" s="25" t="n">
        <v>12.8</v>
      </c>
      <c r="U35" s="25" t="n">
        <v>6.27</v>
      </c>
      <c r="V35" s="26" t="n">
        <v>184</v>
      </c>
      <c r="W35" s="32" t="inlineStr">
        <is>
          <t>Cenário de Fuga para o dólar e Crescimento</t>
        </is>
      </c>
    </row>
    <row r="36" ht="45" customHeight="1" s="94">
      <c r="A36" s="10" t="inlineStr">
        <is>
          <t>CONVEXIDADE</t>
        </is>
      </c>
      <c r="B36" s="11" t="inlineStr">
        <is>
          <t>HASH11</t>
        </is>
      </c>
      <c r="C36" s="12" t="inlineStr">
        <is>
          <t>Nasdaq Crypto Index</t>
        </is>
      </c>
      <c r="D36" s="12" t="inlineStr">
        <is>
          <t>Internacional</t>
        </is>
      </c>
      <c r="E36" s="12" t="inlineStr">
        <is>
          <t>Criptomoedas</t>
        </is>
      </c>
      <c r="F36" s="12" t="inlineStr">
        <is>
          <t>BTC + ETH</t>
        </is>
      </c>
      <c r="G36" s="12" t="inlineStr">
        <is>
          <t>BTC + ETH</t>
        </is>
      </c>
      <c r="H36" s="13" t="n"/>
      <c r="I36" s="14" t="n"/>
      <c r="J36" s="15">
        <f>L36/L39</f>
        <v/>
      </c>
      <c r="K36" s="13">
        <f>M36/M39</f>
        <v/>
      </c>
      <c r="L36" s="24">
        <f>V36*T36</f>
        <v/>
      </c>
      <c r="M36" s="19">
        <f>V36*U36</f>
        <v/>
      </c>
      <c r="N36" s="17">
        <f>L36-M36</f>
        <v/>
      </c>
      <c r="O36" s="18">
        <f>N36/M36</f>
        <v/>
      </c>
      <c r="P36" s="19" t="n">
        <v>0</v>
      </c>
      <c r="Q36" s="17">
        <f>N36+P36</f>
        <v/>
      </c>
      <c r="R36" s="18">
        <f>Q36/M36</f>
        <v/>
      </c>
      <c r="S36" s="13">
        <f>K36*R36</f>
        <v/>
      </c>
      <c r="T36" s="25" t="n">
        <v>49.05</v>
      </c>
      <c r="U36" s="25" t="n">
        <v>68.14</v>
      </c>
      <c r="V36" s="26" t="n">
        <v>88</v>
      </c>
      <c r="W36" s="22" t="inlineStr">
        <is>
          <t>Reserva Digital. Hedge contra a falência das moedas fiduciárias e inflação monetária global. Potencial exponencial.</t>
        </is>
      </c>
    </row>
    <row r="37" ht="67.5" customHeight="1" s="94">
      <c r="A37" s="10" t="inlineStr">
        <is>
          <t>CONVEXIDADE</t>
        </is>
      </c>
      <c r="B37" s="11" t="inlineStr">
        <is>
          <t>BSLV39</t>
        </is>
      </c>
      <c r="C37" s="12" t="inlineStr">
        <is>
          <t>Ishares Silver Trust Bdr</t>
        </is>
      </c>
      <c r="D37" s="12" t="inlineStr">
        <is>
          <t>Internacional</t>
        </is>
      </c>
      <c r="E37" s="12" t="inlineStr">
        <is>
          <t>Commodities</t>
        </is>
      </c>
      <c r="F37" s="12" t="inlineStr">
        <is>
          <t>Prata</t>
        </is>
      </c>
      <c r="G37" s="12" t="inlineStr">
        <is>
          <t>Prata</t>
        </is>
      </c>
      <c r="H37" s="31" t="n"/>
      <c r="I37" s="14" t="n"/>
      <c r="J37" s="15">
        <f>L37/L39</f>
        <v/>
      </c>
      <c r="K37" s="13">
        <f>M37/M39</f>
        <v/>
      </c>
      <c r="L37" s="24">
        <f>V37*T37</f>
        <v/>
      </c>
      <c r="M37" s="19">
        <f>V37*U37</f>
        <v/>
      </c>
      <c r="N37" s="17">
        <f>L37-M37</f>
        <v/>
      </c>
      <c r="O37" s="18">
        <f>N37/M37</f>
        <v/>
      </c>
      <c r="P37" s="19" t="n">
        <v>0</v>
      </c>
      <c r="Q37" s="17">
        <f>N37+P37</f>
        <v/>
      </c>
      <c r="R37" s="18">
        <f>Q37/M37</f>
        <v/>
      </c>
      <c r="S37" s="18">
        <f>K37*R37</f>
        <v/>
      </c>
      <c r="T37" s="25" t="n">
        <v>108.42</v>
      </c>
      <c r="U37" s="25" t="n">
        <v>142.78</v>
      </c>
      <c r="V37" s="26" t="n">
        <v>15</v>
      </c>
      <c r="W37" s="22" t="inlineStr">
        <is>
          <t>Reserva Milenar. Proteção contra crises sistêmicas agudas. Ativo que não é passivo de ninguém (sem risco de crédito). Utilizado na indústria de energia renovável (commoditie estratégica)</t>
        </is>
      </c>
    </row>
    <row r="38" ht="43.5" customHeight="1" s="94">
      <c r="A38" s="10" t="inlineStr">
        <is>
          <t>CONVEXIDADE</t>
        </is>
      </c>
      <c r="B38" s="11" t="inlineStr">
        <is>
          <t>GOLD11</t>
        </is>
      </c>
      <c r="C38" s="12" t="inlineStr">
        <is>
          <t>Trend Ouro</t>
        </is>
      </c>
      <c r="D38" s="12" t="inlineStr">
        <is>
          <t>Internacional</t>
        </is>
      </c>
      <c r="E38" s="12" t="inlineStr">
        <is>
          <t>Commodities</t>
        </is>
      </c>
      <c r="F38" s="12" t="inlineStr">
        <is>
          <t>Ouro</t>
        </is>
      </c>
      <c r="G38" s="12" t="inlineStr">
        <is>
          <t>Ouro</t>
        </is>
      </c>
      <c r="H38" s="13" t="n"/>
      <c r="I38" s="14" t="n"/>
      <c r="J38" s="15">
        <f>L38/L39</f>
        <v/>
      </c>
      <c r="K38" s="13">
        <f>M38/M39</f>
        <v/>
      </c>
      <c r="L38" s="24">
        <f>V38*T38</f>
        <v/>
      </c>
      <c r="M38" s="19">
        <f>V38*U38</f>
        <v/>
      </c>
      <c r="N38" s="17">
        <f>L38-M38</f>
        <v/>
      </c>
      <c r="O38" s="18">
        <f>N38/M38</f>
        <v/>
      </c>
      <c r="P38" s="19" t="n">
        <v>0</v>
      </c>
      <c r="Q38" s="17">
        <f>N38+P38</f>
        <v/>
      </c>
      <c r="R38" s="18">
        <f>Q38/M38</f>
        <v/>
      </c>
      <c r="S38" s="18">
        <f>K38*R38</f>
        <v/>
      </c>
      <c r="T38" s="25" t="n">
        <v>23.96</v>
      </c>
      <c r="U38" s="25" t="n">
        <v>26.54</v>
      </c>
      <c r="V38" s="26" t="n">
        <v>300</v>
      </c>
      <c r="W38" s="22" t="inlineStr">
        <is>
          <t>Reserva Milenar. Proteção final contra crises sistêmicas agudas. Ativo que não é passivo de ninguém (sem risco de crédito).</t>
        </is>
      </c>
    </row>
    <row r="39" ht="15.75" customHeight="1" s="94">
      <c r="A39" s="37" t="inlineStr">
        <is>
          <t>TOTAL</t>
        </is>
      </c>
      <c r="B39" s="38" t="inlineStr">
        <is>
          <t>-</t>
        </is>
      </c>
      <c r="C39" s="39" t="inlineStr">
        <is>
          <t>-</t>
        </is>
      </c>
      <c r="D39" s="40" t="inlineStr">
        <is>
          <t>-</t>
        </is>
      </c>
      <c r="E39" s="40" t="inlineStr">
        <is>
          <t>-</t>
        </is>
      </c>
      <c r="F39" s="40" t="inlineStr">
        <is>
          <t>-</t>
        </is>
      </c>
      <c r="G39" s="40" t="inlineStr">
        <is>
          <t>-</t>
        </is>
      </c>
      <c r="H39" s="40" t="inlineStr">
        <is>
          <t>-</t>
        </is>
      </c>
      <c r="I39" s="40" t="inlineStr">
        <is>
          <t>-</t>
        </is>
      </c>
      <c r="J39" s="41">
        <f>SUM(J2:J38)</f>
        <v/>
      </c>
      <c r="K39" s="40" t="inlineStr">
        <is>
          <t>-</t>
        </is>
      </c>
      <c r="L39" s="42">
        <f>SUM(L2:L38)</f>
        <v/>
      </c>
      <c r="M39" s="43">
        <f>SUM(M2:M38)</f>
        <v/>
      </c>
      <c r="N39" s="44">
        <f>SUM(N2:N38)</f>
        <v/>
      </c>
      <c r="O39" s="45">
        <f>N39/M39</f>
        <v/>
      </c>
      <c r="P39" s="46">
        <f>SUM(P2:P38)</f>
        <v/>
      </c>
      <c r="Q39" s="44">
        <f>N39+P39</f>
        <v/>
      </c>
      <c r="R39" s="45">
        <f>Q39/M39</f>
        <v/>
      </c>
      <c r="S39" s="47">
        <f>SUM(S2:S38)</f>
        <v/>
      </c>
      <c r="T39" s="48" t="n"/>
      <c r="U39" s="48" t="n"/>
      <c r="V39" s="40" t="inlineStr">
        <is>
          <t>-</t>
        </is>
      </c>
      <c r="W39" s="40" t="inlineStr">
        <is>
          <t>-</t>
        </is>
      </c>
    </row>
    <row r="40" ht="15.75" customHeight="1" s="94">
      <c r="A40" s="49" t="n"/>
      <c r="B40" s="11" t="n"/>
      <c r="J40" s="15" t="n"/>
      <c r="K40" s="13" t="n"/>
      <c r="L40" s="50" t="n"/>
      <c r="M40" s="50" t="n"/>
      <c r="N40" s="51" t="n"/>
      <c r="O40" s="52" t="n"/>
      <c r="P40" s="51" t="n"/>
      <c r="Q40" s="51" t="n"/>
      <c r="R40" s="52" t="n"/>
      <c r="S40" s="15" t="n"/>
      <c r="T40" s="25" t="n"/>
      <c r="U40" s="25" t="n"/>
      <c r="V40" s="26" t="n"/>
    </row>
    <row r="41" ht="15.75" customHeight="1" s="94">
      <c r="A41" s="49" t="n"/>
      <c r="B41" s="11" t="n"/>
      <c r="J41" s="15" t="n"/>
      <c r="K41" s="13" t="n"/>
      <c r="L41" s="50" t="n"/>
      <c r="M41" s="50" t="n"/>
      <c r="N41" s="51" t="n"/>
      <c r="O41" s="52" t="n"/>
      <c r="P41" s="51" t="n"/>
      <c r="Q41" s="51" t="n"/>
      <c r="R41" s="52" t="n"/>
      <c r="S41" s="15" t="n"/>
      <c r="T41" s="25" t="n"/>
      <c r="U41" s="25" t="n"/>
      <c r="V41" s="26" t="n"/>
    </row>
    <row r="42" ht="15.75" customHeight="1" s="94">
      <c r="A42" s="49" t="n"/>
      <c r="B42" s="11" t="n"/>
      <c r="E42" s="53" t="n"/>
      <c r="F42" s="53" t="n"/>
      <c r="G42" s="53" t="n"/>
      <c r="J42" s="15" t="n"/>
      <c r="K42" s="13" t="n"/>
      <c r="L42" s="50" t="n"/>
      <c r="M42" s="50" t="n"/>
      <c r="N42" s="51" t="n"/>
      <c r="O42" s="52" t="n"/>
      <c r="P42" s="51" t="n"/>
      <c r="Q42" s="51" t="n"/>
      <c r="R42" s="52" t="n"/>
      <c r="S42" s="15" t="n"/>
      <c r="T42" s="25" t="n"/>
      <c r="U42" s="25" t="n"/>
      <c r="V42" s="26" t="n"/>
    </row>
    <row r="43" ht="15.75" customHeight="1" s="94">
      <c r="A43" s="49" t="n"/>
      <c r="B43" s="11" t="n"/>
      <c r="J43" s="15" t="n"/>
      <c r="K43" s="13" t="n"/>
      <c r="L43" s="50" t="n"/>
      <c r="M43" s="50" t="n"/>
      <c r="N43" s="51" t="n"/>
      <c r="O43" s="54" t="n"/>
      <c r="P43" s="50" t="n"/>
      <c r="Q43" s="51" t="n"/>
      <c r="R43" s="52" t="n"/>
      <c r="S43" s="15" t="n"/>
      <c r="T43" s="25" t="n"/>
      <c r="U43" s="25" t="n"/>
      <c r="V43" s="26" t="n"/>
    </row>
    <row r="44" ht="15.75" customHeight="1" s="94">
      <c r="A44" s="49" t="n"/>
      <c r="B44" s="11" t="n"/>
      <c r="J44" s="15" t="n"/>
      <c r="K44" s="13" t="n"/>
      <c r="L44" s="50" t="n"/>
      <c r="M44" s="50" t="n"/>
      <c r="N44" s="51" t="n"/>
      <c r="O44" s="54" t="n"/>
      <c r="P44" s="50" t="n"/>
      <c r="Q44" s="51" t="n"/>
      <c r="R44" s="52" t="n"/>
      <c r="S44" s="15" t="n"/>
      <c r="T44" s="25" t="n"/>
      <c r="U44" s="25" t="n"/>
      <c r="V44" s="26" t="n"/>
    </row>
    <row r="45" ht="15.75" customHeight="1" s="94">
      <c r="A45" s="49" t="n"/>
      <c r="B45" s="11" t="n"/>
      <c r="J45" s="15" t="n"/>
      <c r="K45" s="13" t="n"/>
      <c r="L45" s="50" t="n"/>
      <c r="M45" s="50" t="n"/>
      <c r="N45" s="51" t="n"/>
      <c r="O45" s="54" t="n"/>
      <c r="P45" s="50" t="n"/>
      <c r="Q45" s="51" t="n"/>
      <c r="R45" s="52" t="n"/>
      <c r="S45" s="15" t="n"/>
      <c r="T45" s="25" t="n"/>
      <c r="U45" s="25" t="n"/>
      <c r="V45" s="26" t="n"/>
    </row>
    <row r="46" ht="15.75" customHeight="1" s="94">
      <c r="A46" s="49" t="n"/>
      <c r="B46" s="11" t="n"/>
      <c r="J46" s="15" t="n"/>
      <c r="K46" s="13" t="n"/>
      <c r="L46" s="50" t="n"/>
      <c r="M46" s="50" t="n"/>
      <c r="N46" s="51" t="n"/>
      <c r="O46" s="54" t="n"/>
      <c r="P46" s="50" t="n"/>
      <c r="Q46" s="51" t="n"/>
      <c r="R46" s="52" t="n"/>
      <c r="S46" s="15" t="n"/>
      <c r="T46" s="25" t="n"/>
      <c r="U46" s="25" t="n"/>
      <c r="V46" s="26" t="n"/>
    </row>
    <row r="47" ht="15.75" customHeight="1" s="94">
      <c r="A47" s="49" t="n"/>
      <c r="B47" s="11" t="n"/>
      <c r="J47" s="15" t="n"/>
      <c r="K47" s="13" t="n"/>
      <c r="L47" s="50" t="n"/>
      <c r="M47" s="50" t="n"/>
      <c r="N47" s="51" t="n"/>
      <c r="O47" s="54" t="n"/>
      <c r="P47" s="50" t="n"/>
      <c r="Q47" s="51" t="n"/>
      <c r="R47" s="52" t="n"/>
      <c r="S47" s="15" t="n"/>
      <c r="T47" s="25" t="n"/>
      <c r="U47" s="25" t="n"/>
      <c r="V47" s="26" t="n"/>
    </row>
    <row r="48" ht="15.75" customHeight="1" s="94">
      <c r="A48" s="49" t="n"/>
      <c r="B48" s="11" t="n"/>
      <c r="J48" s="15" t="n"/>
      <c r="K48" s="13" t="n"/>
      <c r="L48" s="50" t="n"/>
      <c r="M48" s="50" t="n"/>
      <c r="N48" s="51" t="n"/>
      <c r="O48" s="54" t="n"/>
      <c r="P48" s="50" t="n"/>
      <c r="Q48" s="51" t="n"/>
      <c r="R48" s="52" t="n"/>
      <c r="S48" s="15" t="n"/>
      <c r="T48" s="25" t="n"/>
      <c r="U48" s="25" t="n"/>
      <c r="V48" s="26" t="n"/>
    </row>
    <row r="49" ht="15.75" customHeight="1" s="94">
      <c r="A49" s="49" t="n"/>
      <c r="B49" s="11" t="n"/>
      <c r="J49" s="15" t="n"/>
      <c r="K49" s="13" t="n"/>
      <c r="L49" s="50" t="n"/>
      <c r="M49" s="50" t="n"/>
      <c r="N49" s="51" t="n"/>
      <c r="O49" s="54" t="n"/>
      <c r="P49" s="50" t="n"/>
      <c r="Q49" s="51" t="n"/>
      <c r="R49" s="52" t="n"/>
      <c r="S49" s="15" t="n"/>
      <c r="T49" s="25" t="n"/>
      <c r="U49" s="25" t="n"/>
      <c r="V49" s="26" t="n"/>
    </row>
    <row r="50" ht="15.75" customHeight="1" s="94">
      <c r="A50" s="49" t="n"/>
      <c r="B50" s="11" t="n"/>
      <c r="J50" s="15" t="n"/>
      <c r="K50" s="13" t="n"/>
      <c r="L50" s="50" t="n"/>
      <c r="M50" s="50" t="n"/>
      <c r="N50" s="51" t="n"/>
      <c r="O50" s="54" t="n"/>
      <c r="P50" s="50" t="n"/>
      <c r="Q50" s="51" t="n"/>
      <c r="R50" s="52" t="n"/>
      <c r="S50" s="15" t="n"/>
      <c r="T50" s="25" t="n"/>
      <c r="U50" s="25" t="n"/>
      <c r="V50" s="26" t="n"/>
    </row>
    <row r="51" ht="15.75" customHeight="1" s="94">
      <c r="A51" s="49" t="n"/>
      <c r="B51" s="11" t="n"/>
      <c r="J51" s="15" t="n"/>
      <c r="K51" s="13" t="n"/>
      <c r="L51" s="50" t="n"/>
      <c r="M51" s="50" t="n"/>
      <c r="N51" s="51" t="n"/>
      <c r="O51" s="54" t="n"/>
      <c r="P51" s="50" t="n"/>
      <c r="Q51" s="51" t="n"/>
      <c r="R51" s="52" t="n"/>
      <c r="S51" s="15" t="n"/>
      <c r="T51" s="25" t="n"/>
      <c r="U51" s="25" t="n"/>
      <c r="V51" s="26" t="n"/>
    </row>
    <row r="52" ht="15.75" customHeight="1" s="94">
      <c r="A52" s="49" t="n"/>
      <c r="B52" s="11" t="n"/>
      <c r="J52" s="15" t="n"/>
      <c r="K52" s="13" t="n"/>
      <c r="L52" s="50" t="n"/>
      <c r="M52" s="50" t="n"/>
      <c r="N52" s="51" t="n"/>
      <c r="O52" s="54" t="n"/>
      <c r="P52" s="50" t="n"/>
      <c r="Q52" s="51" t="n"/>
      <c r="R52" s="52" t="n"/>
      <c r="S52" s="15" t="n"/>
      <c r="T52" s="25" t="n"/>
      <c r="U52" s="25" t="n"/>
      <c r="V52" s="26" t="n"/>
    </row>
    <row r="53" ht="15.75" customHeight="1" s="94">
      <c r="A53" s="49" t="n"/>
      <c r="B53" s="11" t="n"/>
      <c r="J53" s="15" t="n"/>
      <c r="K53" s="13" t="n"/>
      <c r="L53" s="50" t="n"/>
      <c r="M53" s="50" t="n"/>
      <c r="N53" s="51" t="n"/>
      <c r="O53" s="54" t="n"/>
      <c r="P53" s="50" t="n"/>
      <c r="Q53" s="51" t="n"/>
      <c r="R53" s="52" t="n"/>
      <c r="S53" s="15" t="n"/>
      <c r="T53" s="25" t="n"/>
      <c r="U53" s="25" t="n"/>
      <c r="V53" s="26" t="n"/>
    </row>
    <row r="54" ht="15.75" customHeight="1" s="94">
      <c r="A54" s="49" t="n"/>
      <c r="B54" s="11" t="n"/>
      <c r="J54" s="15" t="n"/>
      <c r="K54" s="13" t="n"/>
      <c r="L54" s="50" t="n"/>
      <c r="M54" s="50" t="n"/>
      <c r="N54" s="51" t="n"/>
      <c r="O54" s="54" t="n"/>
      <c r="P54" s="50" t="n"/>
      <c r="Q54" s="51" t="n"/>
      <c r="R54" s="52" t="n"/>
      <c r="S54" s="15" t="n"/>
      <c r="T54" s="25" t="n"/>
      <c r="U54" s="25" t="n"/>
      <c r="V54" s="26" t="n"/>
    </row>
    <row r="55" ht="15.75" customHeight="1" s="94">
      <c r="A55" s="49" t="n"/>
      <c r="B55" s="11" t="n"/>
      <c r="J55" s="15" t="n"/>
      <c r="K55" s="13" t="n"/>
      <c r="L55" s="50" t="n"/>
      <c r="M55" s="50" t="n"/>
      <c r="N55" s="51" t="n"/>
      <c r="O55" s="54" t="n"/>
      <c r="P55" s="50" t="n"/>
      <c r="Q55" s="51" t="n"/>
      <c r="R55" s="52" t="n"/>
      <c r="S55" s="15" t="n"/>
      <c r="T55" s="25" t="n"/>
      <c r="U55" s="25" t="n"/>
      <c r="V55" s="26" t="n"/>
    </row>
    <row r="56" ht="15.75" customHeight="1" s="94">
      <c r="A56" s="49" t="n"/>
      <c r="B56" s="11" t="n"/>
      <c r="J56" s="15" t="n"/>
      <c r="K56" s="13" t="n"/>
      <c r="L56" s="50" t="n"/>
      <c r="M56" s="50" t="n"/>
      <c r="N56" s="51" t="n"/>
      <c r="O56" s="54" t="n"/>
      <c r="P56" s="50" t="n"/>
      <c r="Q56" s="51" t="n"/>
      <c r="R56" s="52" t="n"/>
      <c r="S56" s="15" t="n"/>
      <c r="T56" s="25" t="n"/>
      <c r="U56" s="25" t="n"/>
      <c r="V56" s="26" t="n"/>
    </row>
    <row r="57" ht="15.75" customHeight="1" s="94">
      <c r="A57" s="49" t="n"/>
      <c r="B57" s="11" t="n"/>
      <c r="J57" s="15" t="n"/>
      <c r="K57" s="13" t="n"/>
      <c r="L57" s="50" t="n"/>
      <c r="M57" s="50" t="n"/>
      <c r="N57" s="51" t="n"/>
      <c r="O57" s="54" t="n"/>
      <c r="P57" s="50" t="n"/>
      <c r="Q57" s="51" t="n"/>
      <c r="R57" s="52" t="n"/>
      <c r="S57" s="15" t="n"/>
      <c r="T57" s="25" t="n"/>
      <c r="U57" s="25" t="n"/>
      <c r="V57" s="26" t="n"/>
    </row>
    <row r="58" ht="15.75" customHeight="1" s="94">
      <c r="A58" s="49" t="n"/>
      <c r="B58" s="11" t="n"/>
      <c r="J58" s="15" t="n"/>
      <c r="K58" s="13" t="n"/>
      <c r="L58" s="50" t="n"/>
      <c r="M58" s="50" t="n"/>
      <c r="N58" s="51" t="n"/>
      <c r="O58" s="54" t="n"/>
      <c r="P58" s="50" t="n"/>
      <c r="Q58" s="51" t="n"/>
      <c r="R58" s="52" t="n"/>
      <c r="S58" s="15" t="n"/>
      <c r="T58" s="25" t="n"/>
      <c r="U58" s="25" t="n"/>
      <c r="V58" s="26" t="n"/>
    </row>
    <row r="59" ht="15.75" customHeight="1" s="94">
      <c r="A59" s="49" t="n"/>
      <c r="B59" s="11" t="n"/>
      <c r="J59" s="15" t="n"/>
      <c r="K59" s="13" t="n"/>
      <c r="L59" s="50" t="n"/>
      <c r="M59" s="50" t="n"/>
      <c r="N59" s="51" t="n"/>
      <c r="O59" s="54" t="n"/>
      <c r="P59" s="50" t="n"/>
      <c r="Q59" s="51" t="n"/>
      <c r="R59" s="52" t="n"/>
      <c r="S59" s="15" t="n"/>
      <c r="T59" s="25" t="n"/>
      <c r="U59" s="25" t="n"/>
      <c r="V59" s="26" t="n"/>
    </row>
    <row r="60" ht="15.75" customHeight="1" s="94">
      <c r="A60" s="49" t="n"/>
      <c r="B60" s="11" t="n"/>
      <c r="J60" s="15" t="n"/>
      <c r="K60" s="13" t="n"/>
      <c r="L60" s="50" t="n"/>
      <c r="M60" s="50" t="n"/>
      <c r="N60" s="51" t="n"/>
      <c r="O60" s="54" t="n"/>
      <c r="P60" s="50" t="n"/>
      <c r="Q60" s="51" t="n"/>
      <c r="R60" s="52" t="n"/>
      <c r="S60" s="15" t="n"/>
      <c r="T60" s="25" t="n"/>
      <c r="U60" s="25" t="n"/>
      <c r="V60" s="26" t="n"/>
    </row>
    <row r="61" ht="15.75" customHeight="1" s="94">
      <c r="A61" s="49" t="n"/>
      <c r="B61" s="11" t="n"/>
      <c r="J61" s="15" t="n"/>
      <c r="K61" s="13" t="n"/>
      <c r="L61" s="50" t="n"/>
      <c r="M61" s="50" t="n"/>
      <c r="N61" s="51" t="n"/>
      <c r="O61" s="54" t="n"/>
      <c r="P61" s="50" t="n"/>
      <c r="Q61" s="51" t="n"/>
      <c r="R61" s="52" t="n"/>
      <c r="S61" s="15" t="n"/>
      <c r="T61" s="25" t="n"/>
      <c r="U61" s="25" t="n"/>
      <c r="V61" s="26" t="n"/>
    </row>
    <row r="62" ht="15.75" customHeight="1" s="94">
      <c r="A62" s="49" t="n"/>
      <c r="B62" s="11" t="n"/>
      <c r="J62" s="15" t="n"/>
      <c r="K62" s="13" t="n"/>
      <c r="L62" s="50" t="n"/>
      <c r="M62" s="50" t="n"/>
      <c r="N62" s="51" t="n"/>
      <c r="O62" s="54" t="n"/>
      <c r="P62" s="50" t="n"/>
      <c r="Q62" s="51" t="n"/>
      <c r="R62" s="52" t="n"/>
      <c r="S62" s="15" t="n"/>
      <c r="T62" s="25" t="n"/>
      <c r="U62" s="25" t="n"/>
      <c r="V62" s="26" t="n"/>
    </row>
    <row r="63" ht="15.75" customHeight="1" s="94">
      <c r="A63" s="49" t="n"/>
      <c r="B63" s="11" t="n"/>
      <c r="J63" s="15" t="n"/>
      <c r="K63" s="13" t="n"/>
      <c r="L63" s="50" t="n"/>
      <c r="M63" s="50" t="n"/>
      <c r="N63" s="51" t="n"/>
      <c r="O63" s="54" t="n"/>
      <c r="P63" s="50" t="n"/>
      <c r="Q63" s="51" t="n"/>
      <c r="R63" s="52" t="n"/>
      <c r="S63" s="15" t="n"/>
      <c r="T63" s="25" t="n"/>
      <c r="U63" s="25" t="n"/>
      <c r="V63" s="26" t="n"/>
    </row>
    <row r="64" ht="15.75" customHeight="1" s="94">
      <c r="A64" s="49" t="n"/>
      <c r="B64" s="11" t="n"/>
      <c r="J64" s="15" t="n"/>
      <c r="K64" s="13" t="n"/>
      <c r="L64" s="50" t="n"/>
      <c r="M64" s="50" t="n"/>
      <c r="N64" s="51" t="n"/>
      <c r="O64" s="54" t="n"/>
      <c r="P64" s="50" t="n"/>
      <c r="Q64" s="51" t="n"/>
      <c r="R64" s="52" t="n"/>
      <c r="S64" s="15" t="n"/>
      <c r="T64" s="25" t="n"/>
      <c r="U64" s="25" t="n"/>
      <c r="V64" s="26" t="n"/>
    </row>
    <row r="65" ht="15.75" customHeight="1" s="94">
      <c r="A65" s="49" t="n"/>
      <c r="B65" s="11" t="n"/>
      <c r="J65" s="15" t="n"/>
      <c r="K65" s="13" t="n"/>
      <c r="L65" s="50" t="n"/>
      <c r="M65" s="50" t="n"/>
      <c r="N65" s="51" t="n"/>
      <c r="O65" s="54" t="n"/>
      <c r="P65" s="50" t="n"/>
      <c r="Q65" s="51" t="n"/>
      <c r="R65" s="52" t="n"/>
      <c r="S65" s="15" t="n"/>
      <c r="T65" s="25" t="n"/>
      <c r="U65" s="25" t="n"/>
      <c r="V65" s="26" t="n"/>
    </row>
    <row r="66" ht="15.75" customHeight="1" s="94">
      <c r="A66" s="49" t="n"/>
      <c r="B66" s="11" t="n"/>
      <c r="J66" s="15" t="n"/>
      <c r="K66" s="13" t="n"/>
      <c r="L66" s="50" t="n"/>
      <c r="M66" s="50" t="n"/>
      <c r="N66" s="51" t="n"/>
      <c r="O66" s="54" t="n"/>
      <c r="P66" s="50" t="n"/>
      <c r="Q66" s="51" t="n"/>
      <c r="R66" s="52" t="n"/>
      <c r="S66" s="15" t="n"/>
      <c r="T66" s="25" t="n"/>
      <c r="U66" s="25" t="n"/>
      <c r="V66" s="26" t="n"/>
    </row>
    <row r="67" ht="15.75" customHeight="1" s="94">
      <c r="A67" s="49" t="n"/>
      <c r="B67" s="11" t="n"/>
      <c r="J67" s="15" t="n"/>
      <c r="K67" s="13" t="n"/>
      <c r="L67" s="50" t="n"/>
      <c r="M67" s="50" t="n"/>
      <c r="N67" s="51" t="n"/>
      <c r="O67" s="54" t="n"/>
      <c r="P67" s="50" t="n"/>
      <c r="Q67" s="51" t="n"/>
      <c r="R67" s="52" t="n"/>
      <c r="S67" s="15" t="n"/>
      <c r="T67" s="25" t="n"/>
      <c r="U67" s="25" t="n"/>
      <c r="V67" s="26" t="n"/>
    </row>
    <row r="68" ht="15.75" customHeight="1" s="94">
      <c r="A68" s="49" t="n"/>
      <c r="B68" s="11" t="n"/>
      <c r="J68" s="15" t="n"/>
      <c r="K68" s="13" t="n"/>
      <c r="L68" s="50" t="n"/>
      <c r="M68" s="50" t="n"/>
      <c r="N68" s="51" t="n"/>
      <c r="O68" s="54" t="n"/>
      <c r="P68" s="50" t="n"/>
      <c r="Q68" s="51" t="n"/>
      <c r="R68" s="52" t="n"/>
      <c r="S68" s="15" t="n"/>
      <c r="T68" s="25" t="n"/>
      <c r="U68" s="25" t="n"/>
      <c r="V68" s="26" t="n"/>
    </row>
    <row r="69" ht="15.75" customHeight="1" s="94">
      <c r="A69" s="49" t="n"/>
      <c r="B69" s="11" t="n"/>
      <c r="J69" s="15" t="n"/>
      <c r="K69" s="13" t="n"/>
      <c r="L69" s="50" t="n"/>
      <c r="M69" s="50" t="n"/>
      <c r="N69" s="51" t="n"/>
      <c r="O69" s="54" t="n"/>
      <c r="P69" s="50" t="n"/>
      <c r="Q69" s="51" t="n"/>
      <c r="R69" s="52" t="n"/>
      <c r="S69" s="15" t="n"/>
      <c r="T69" s="25" t="n"/>
      <c r="U69" s="25" t="n"/>
      <c r="V69" s="26" t="n"/>
    </row>
    <row r="70" ht="15.75" customHeight="1" s="94">
      <c r="A70" s="49" t="n"/>
      <c r="B70" s="11" t="n"/>
      <c r="J70" s="15" t="n"/>
      <c r="K70" s="13" t="n"/>
      <c r="L70" s="50" t="n"/>
      <c r="M70" s="50" t="n"/>
      <c r="N70" s="51" t="n"/>
      <c r="O70" s="54" t="n"/>
      <c r="P70" s="50" t="n"/>
      <c r="Q70" s="51" t="n"/>
      <c r="R70" s="52" t="n"/>
      <c r="S70" s="15" t="n"/>
      <c r="T70" s="25" t="n"/>
      <c r="U70" s="25" t="n"/>
      <c r="V70" s="26" t="n"/>
    </row>
    <row r="71" ht="15.75" customHeight="1" s="94">
      <c r="A71" s="49" t="n"/>
      <c r="B71" s="11" t="n"/>
      <c r="J71" s="15" t="n"/>
      <c r="K71" s="13" t="n"/>
      <c r="L71" s="50" t="n"/>
      <c r="M71" s="50" t="n"/>
      <c r="N71" s="51" t="n"/>
      <c r="O71" s="54" t="n"/>
      <c r="P71" s="50" t="n"/>
      <c r="Q71" s="51" t="n"/>
      <c r="R71" s="52" t="n"/>
      <c r="S71" s="15" t="n"/>
      <c r="T71" s="25" t="n"/>
      <c r="U71" s="25" t="n"/>
      <c r="V71" s="26" t="n"/>
    </row>
    <row r="72" ht="15.75" customHeight="1" s="94">
      <c r="A72" s="49" t="n"/>
      <c r="B72" s="11" t="n"/>
      <c r="J72" s="15" t="n"/>
      <c r="K72" s="13" t="n"/>
      <c r="L72" s="50" t="n"/>
      <c r="M72" s="50" t="n"/>
      <c r="N72" s="51" t="n"/>
      <c r="O72" s="54" t="n"/>
      <c r="P72" s="50" t="n"/>
      <c r="Q72" s="51" t="n"/>
      <c r="R72" s="52" t="n"/>
      <c r="S72" s="15" t="n"/>
      <c r="T72" s="25" t="n"/>
      <c r="U72" s="25" t="n"/>
      <c r="V72" s="26" t="n"/>
    </row>
    <row r="73" ht="15.75" customHeight="1" s="94">
      <c r="A73" s="49" t="n"/>
      <c r="B73" s="11" t="n"/>
      <c r="J73" s="15" t="n"/>
      <c r="K73" s="13" t="n"/>
      <c r="L73" s="50" t="n"/>
      <c r="M73" s="50" t="n"/>
      <c r="N73" s="51" t="n"/>
      <c r="O73" s="54" t="n"/>
      <c r="P73" s="50" t="n"/>
      <c r="Q73" s="51" t="n"/>
      <c r="R73" s="52" t="n"/>
      <c r="S73" s="15" t="n"/>
      <c r="T73" s="25" t="n"/>
      <c r="U73" s="25" t="n"/>
      <c r="V73" s="26" t="n"/>
    </row>
    <row r="74" ht="15.75" customHeight="1" s="94">
      <c r="A74" s="49" t="n"/>
      <c r="B74" s="11" t="n"/>
      <c r="J74" s="15" t="n"/>
      <c r="K74" s="13" t="n"/>
      <c r="L74" s="50" t="n"/>
      <c r="M74" s="50" t="n"/>
      <c r="N74" s="51" t="n"/>
      <c r="O74" s="54" t="n"/>
      <c r="P74" s="50" t="n"/>
      <c r="Q74" s="51" t="n"/>
      <c r="R74" s="52" t="n"/>
      <c r="S74" s="15" t="n"/>
      <c r="T74" s="25" t="n"/>
      <c r="U74" s="25" t="n"/>
      <c r="V74" s="26" t="n"/>
    </row>
    <row r="75" ht="15.75" customHeight="1" s="94">
      <c r="A75" s="49" t="n"/>
      <c r="B75" s="11" t="n"/>
      <c r="J75" s="15" t="n"/>
      <c r="K75" s="13" t="n"/>
      <c r="L75" s="50" t="n"/>
      <c r="M75" s="50" t="n"/>
      <c r="N75" s="51" t="n"/>
      <c r="O75" s="54" t="n"/>
      <c r="P75" s="50" t="n"/>
      <c r="Q75" s="51" t="n"/>
      <c r="R75" s="52" t="n"/>
      <c r="S75" s="15" t="n"/>
      <c r="T75" s="25" t="n"/>
      <c r="U75" s="25" t="n"/>
      <c r="V75" s="26" t="n"/>
    </row>
    <row r="76" ht="15.75" customHeight="1" s="94">
      <c r="A76" s="49" t="n"/>
      <c r="B76" s="11" t="n"/>
      <c r="J76" s="15" t="n"/>
      <c r="K76" s="13" t="n"/>
      <c r="L76" s="50" t="n"/>
      <c r="M76" s="50" t="n"/>
      <c r="N76" s="51" t="n"/>
      <c r="O76" s="54" t="n"/>
      <c r="P76" s="50" t="n"/>
      <c r="Q76" s="51" t="n"/>
      <c r="R76" s="52" t="n"/>
      <c r="S76" s="15" t="n"/>
      <c r="T76" s="25" t="n"/>
      <c r="U76" s="25" t="n"/>
      <c r="V76" s="26" t="n"/>
    </row>
    <row r="77" ht="15.75" customHeight="1" s="94">
      <c r="A77" s="49" t="n"/>
      <c r="B77" s="11" t="n"/>
      <c r="J77" s="15" t="n"/>
      <c r="K77" s="13" t="n"/>
      <c r="L77" s="50" t="n"/>
      <c r="M77" s="50" t="n"/>
      <c r="N77" s="51" t="n"/>
      <c r="O77" s="54" t="n"/>
      <c r="P77" s="50" t="n"/>
      <c r="Q77" s="51" t="n"/>
      <c r="R77" s="52" t="n"/>
      <c r="S77" s="15" t="n"/>
      <c r="T77" s="25" t="n"/>
      <c r="U77" s="25" t="n"/>
      <c r="V77" s="26" t="n"/>
    </row>
    <row r="78" ht="15.75" customHeight="1" s="94">
      <c r="A78" s="49" t="n"/>
      <c r="B78" s="11" t="n"/>
      <c r="J78" s="15" t="n"/>
      <c r="K78" s="13" t="n"/>
      <c r="L78" s="50" t="n"/>
      <c r="M78" s="50" t="n"/>
      <c r="N78" s="51" t="n"/>
      <c r="O78" s="54" t="n"/>
      <c r="P78" s="50" t="n"/>
      <c r="Q78" s="51" t="n"/>
      <c r="R78" s="52" t="n"/>
      <c r="S78" s="15" t="n"/>
      <c r="T78" s="25" t="n"/>
      <c r="U78" s="25" t="n"/>
      <c r="V78" s="26" t="n"/>
    </row>
    <row r="79" ht="15.75" customHeight="1" s="94">
      <c r="A79" s="49" t="n"/>
      <c r="B79" s="11" t="n"/>
      <c r="J79" s="15" t="n"/>
      <c r="K79" s="13" t="n"/>
      <c r="L79" s="50" t="n"/>
      <c r="M79" s="50" t="n"/>
      <c r="N79" s="51" t="n"/>
      <c r="O79" s="54" t="n"/>
      <c r="P79" s="50" t="n"/>
      <c r="Q79" s="51" t="n"/>
      <c r="R79" s="52" t="n"/>
      <c r="S79" s="15" t="n"/>
      <c r="T79" s="25" t="n"/>
      <c r="U79" s="25" t="n"/>
      <c r="V79" s="26" t="n"/>
    </row>
    <row r="80" ht="15.75" customHeight="1" s="94">
      <c r="A80" s="49" t="n"/>
      <c r="B80" s="11" t="n"/>
      <c r="J80" s="15" t="n"/>
      <c r="K80" s="13" t="n"/>
      <c r="L80" s="50" t="n"/>
      <c r="M80" s="50" t="n"/>
      <c r="N80" s="51" t="n"/>
      <c r="O80" s="54" t="n"/>
      <c r="P80" s="50" t="n"/>
      <c r="Q80" s="51" t="n"/>
      <c r="R80" s="52" t="n"/>
      <c r="S80" s="15" t="n"/>
      <c r="T80" s="25" t="n"/>
      <c r="U80" s="25" t="n"/>
      <c r="V80" s="26" t="n"/>
    </row>
    <row r="81" ht="15.75" customHeight="1" s="94">
      <c r="A81" s="49" t="n"/>
      <c r="B81" s="11" t="n"/>
      <c r="J81" s="15" t="n"/>
      <c r="K81" s="13" t="n"/>
      <c r="L81" s="50" t="n"/>
      <c r="M81" s="50" t="n"/>
      <c r="N81" s="51" t="n"/>
      <c r="O81" s="54" t="n"/>
      <c r="P81" s="50" t="n"/>
      <c r="Q81" s="51" t="n"/>
      <c r="R81" s="52" t="n"/>
      <c r="S81" s="15" t="n"/>
      <c r="T81" s="25" t="n"/>
      <c r="U81" s="25" t="n"/>
      <c r="V81" s="26" t="n"/>
    </row>
    <row r="82" ht="15.75" customHeight="1" s="94">
      <c r="A82" s="49" t="n"/>
      <c r="B82" s="11" t="n"/>
      <c r="J82" s="15" t="n"/>
      <c r="K82" s="13" t="n"/>
      <c r="L82" s="50" t="n"/>
      <c r="M82" s="50" t="n"/>
      <c r="N82" s="51" t="n"/>
      <c r="O82" s="54" t="n"/>
      <c r="P82" s="50" t="n"/>
      <c r="Q82" s="51" t="n"/>
      <c r="R82" s="52" t="n"/>
      <c r="S82" s="15" t="n"/>
      <c r="T82" s="25" t="n"/>
      <c r="U82" s="25" t="n"/>
      <c r="V82" s="26" t="n"/>
    </row>
    <row r="83" ht="15.75" customHeight="1" s="94">
      <c r="A83" s="49" t="n"/>
      <c r="B83" s="11" t="n"/>
      <c r="J83" s="15" t="n"/>
      <c r="K83" s="13" t="n"/>
      <c r="L83" s="50" t="n"/>
      <c r="M83" s="50" t="n"/>
      <c r="N83" s="51" t="n"/>
      <c r="O83" s="54" t="n"/>
      <c r="P83" s="50" t="n"/>
      <c r="Q83" s="51" t="n"/>
      <c r="R83" s="52" t="n"/>
      <c r="S83" s="15" t="n"/>
      <c r="T83" s="25" t="n"/>
      <c r="U83" s="25" t="n"/>
      <c r="V83" s="26" t="n"/>
    </row>
    <row r="84" ht="15.75" customHeight="1" s="94">
      <c r="A84" s="49" t="n"/>
      <c r="B84" s="11" t="n"/>
      <c r="J84" s="15" t="n"/>
      <c r="K84" s="13" t="n"/>
      <c r="L84" s="50" t="n"/>
      <c r="M84" s="50" t="n"/>
      <c r="N84" s="51" t="n"/>
      <c r="O84" s="54" t="n"/>
      <c r="P84" s="50" t="n"/>
      <c r="Q84" s="51" t="n"/>
      <c r="R84" s="52" t="n"/>
      <c r="S84" s="15" t="n"/>
      <c r="T84" s="25" t="n"/>
      <c r="U84" s="25" t="n"/>
      <c r="V84" s="26" t="n"/>
    </row>
    <row r="85" ht="15.75" customHeight="1" s="94">
      <c r="A85" s="49" t="n"/>
      <c r="B85" s="11" t="n"/>
      <c r="J85" s="15" t="n"/>
      <c r="K85" s="13" t="n"/>
      <c r="L85" s="50" t="n"/>
      <c r="M85" s="50" t="n"/>
      <c r="N85" s="51" t="n"/>
      <c r="O85" s="54" t="n"/>
      <c r="P85" s="50" t="n"/>
      <c r="Q85" s="51" t="n"/>
      <c r="R85" s="52" t="n"/>
      <c r="S85" s="15" t="n"/>
      <c r="T85" s="25" t="n"/>
      <c r="U85" s="25" t="n"/>
      <c r="V85" s="26" t="n"/>
    </row>
    <row r="86" ht="15.75" customHeight="1" s="94">
      <c r="A86" s="49" t="n"/>
      <c r="B86" s="11" t="n"/>
      <c r="J86" s="15" t="n"/>
      <c r="K86" s="13" t="n"/>
      <c r="L86" s="50" t="n"/>
      <c r="M86" s="50" t="n"/>
      <c r="N86" s="51" t="n"/>
      <c r="O86" s="54" t="n"/>
      <c r="P86" s="50" t="n"/>
      <c r="Q86" s="51" t="n"/>
      <c r="R86" s="52" t="n"/>
      <c r="S86" s="15" t="n"/>
      <c r="T86" s="25" t="n"/>
      <c r="U86" s="25" t="n"/>
      <c r="V86" s="26" t="n"/>
    </row>
    <row r="87" ht="15.75" customHeight="1" s="94">
      <c r="A87" s="49" t="n"/>
      <c r="B87" s="11" t="n"/>
      <c r="J87" s="15" t="n"/>
      <c r="K87" s="13" t="n"/>
      <c r="L87" s="50" t="n"/>
      <c r="M87" s="50" t="n"/>
      <c r="N87" s="51" t="n"/>
      <c r="O87" s="54" t="n"/>
      <c r="P87" s="50" t="n"/>
      <c r="Q87" s="51" t="n"/>
      <c r="R87" s="52" t="n"/>
      <c r="S87" s="15" t="n"/>
      <c r="T87" s="25" t="n"/>
      <c r="U87" s="25" t="n"/>
      <c r="V87" s="26" t="n"/>
    </row>
    <row r="88" ht="15.75" customHeight="1" s="94">
      <c r="A88" s="49" t="n"/>
      <c r="B88" s="11" t="n"/>
      <c r="J88" s="15" t="n"/>
      <c r="K88" s="13" t="n"/>
      <c r="L88" s="50" t="n"/>
      <c r="M88" s="50" t="n"/>
      <c r="N88" s="51" t="n"/>
      <c r="O88" s="54" t="n"/>
      <c r="P88" s="50" t="n"/>
      <c r="Q88" s="51" t="n"/>
      <c r="R88" s="52" t="n"/>
      <c r="S88" s="15" t="n"/>
      <c r="T88" s="25" t="n"/>
      <c r="U88" s="25" t="n"/>
      <c r="V88" s="26" t="n"/>
    </row>
    <row r="89" ht="15.75" customHeight="1" s="94">
      <c r="A89" s="49" t="n"/>
      <c r="B89" s="11" t="n"/>
      <c r="J89" s="15" t="n"/>
      <c r="K89" s="13" t="n"/>
      <c r="L89" s="50" t="n"/>
      <c r="M89" s="50" t="n"/>
      <c r="N89" s="51" t="n"/>
      <c r="O89" s="54" t="n"/>
      <c r="P89" s="50" t="n"/>
      <c r="Q89" s="51" t="n"/>
      <c r="R89" s="52" t="n"/>
      <c r="S89" s="15" t="n"/>
      <c r="T89" s="25" t="n"/>
      <c r="U89" s="25" t="n"/>
      <c r="V89" s="26" t="n"/>
    </row>
    <row r="90" ht="15.75" customHeight="1" s="94">
      <c r="A90" s="49" t="n"/>
      <c r="B90" s="11" t="n"/>
      <c r="J90" s="15" t="n"/>
      <c r="K90" s="13" t="n"/>
      <c r="L90" s="50" t="n"/>
      <c r="M90" s="50" t="n"/>
      <c r="N90" s="51" t="n"/>
      <c r="O90" s="54" t="n"/>
      <c r="P90" s="50" t="n"/>
      <c r="Q90" s="51" t="n"/>
      <c r="R90" s="52" t="n"/>
      <c r="S90" s="15" t="n"/>
      <c r="T90" s="25" t="n"/>
      <c r="U90" s="25" t="n"/>
      <c r="V90" s="26" t="n"/>
    </row>
    <row r="91" ht="15.75" customHeight="1" s="94">
      <c r="A91" s="49" t="n"/>
      <c r="B91" s="11" t="n"/>
      <c r="J91" s="15" t="n"/>
      <c r="K91" s="13" t="n"/>
      <c r="L91" s="50" t="n"/>
      <c r="M91" s="50" t="n"/>
      <c r="N91" s="51" t="n"/>
      <c r="O91" s="54" t="n"/>
      <c r="P91" s="50" t="n"/>
      <c r="Q91" s="51" t="n"/>
      <c r="R91" s="52" t="n"/>
      <c r="S91" s="15" t="n"/>
      <c r="T91" s="25" t="n"/>
      <c r="U91" s="25" t="n"/>
      <c r="V91" s="26" t="n"/>
    </row>
    <row r="92" ht="15.75" customHeight="1" s="94">
      <c r="A92" s="49" t="n"/>
      <c r="B92" s="11" t="n"/>
      <c r="J92" s="15" t="n"/>
      <c r="K92" s="13" t="n"/>
      <c r="L92" s="50" t="n"/>
      <c r="M92" s="50" t="n"/>
      <c r="N92" s="51" t="n"/>
      <c r="O92" s="54" t="n"/>
      <c r="P92" s="50" t="n"/>
      <c r="Q92" s="51" t="n"/>
      <c r="R92" s="52" t="n"/>
      <c r="S92" s="15" t="n"/>
      <c r="T92" s="25" t="n"/>
      <c r="U92" s="25" t="n"/>
      <c r="V92" s="26" t="n"/>
    </row>
    <row r="93" ht="15.75" customHeight="1" s="94">
      <c r="A93" s="49" t="n"/>
      <c r="B93" s="11" t="n"/>
      <c r="J93" s="15" t="n"/>
      <c r="K93" s="13" t="n"/>
      <c r="L93" s="50" t="n"/>
      <c r="M93" s="50" t="n"/>
      <c r="N93" s="51" t="n"/>
      <c r="O93" s="54" t="n"/>
      <c r="P93" s="50" t="n"/>
      <c r="Q93" s="51" t="n"/>
      <c r="R93" s="52" t="n"/>
      <c r="S93" s="15" t="n"/>
      <c r="T93" s="25" t="n"/>
      <c r="U93" s="25" t="n"/>
      <c r="V93" s="26" t="n"/>
    </row>
    <row r="94" ht="15.75" customHeight="1" s="94">
      <c r="A94" s="49" t="n"/>
      <c r="B94" s="11" t="n"/>
      <c r="J94" s="15" t="n"/>
      <c r="K94" s="13" t="n"/>
      <c r="L94" s="50" t="n"/>
      <c r="M94" s="50" t="n"/>
      <c r="N94" s="51" t="n"/>
      <c r="O94" s="54" t="n"/>
      <c r="P94" s="50" t="n"/>
      <c r="Q94" s="51" t="n"/>
      <c r="R94" s="52" t="n"/>
      <c r="S94" s="15" t="n"/>
      <c r="T94" s="25" t="n"/>
      <c r="U94" s="25" t="n"/>
      <c r="V94" s="26" t="n"/>
    </row>
    <row r="95" ht="15.75" customHeight="1" s="94">
      <c r="A95" s="49" t="n"/>
      <c r="B95" s="11" t="n"/>
      <c r="J95" s="15" t="n"/>
      <c r="K95" s="13" t="n"/>
      <c r="L95" s="50" t="n"/>
      <c r="M95" s="50" t="n"/>
      <c r="N95" s="51" t="n"/>
      <c r="O95" s="54" t="n"/>
      <c r="P95" s="50" t="n"/>
      <c r="Q95" s="51" t="n"/>
      <c r="R95" s="52" t="n"/>
      <c r="S95" s="15" t="n"/>
      <c r="T95" s="25" t="n"/>
      <c r="U95" s="25" t="n"/>
      <c r="V95" s="26" t="n"/>
    </row>
    <row r="96" ht="15.75" customHeight="1" s="94">
      <c r="A96" s="49" t="n"/>
      <c r="B96" s="11" t="n"/>
      <c r="J96" s="15" t="n"/>
      <c r="K96" s="13" t="n"/>
      <c r="L96" s="50" t="n"/>
      <c r="M96" s="50" t="n"/>
      <c r="N96" s="51" t="n"/>
      <c r="O96" s="54" t="n"/>
      <c r="P96" s="50" t="n"/>
      <c r="Q96" s="51" t="n"/>
      <c r="R96" s="52" t="n"/>
      <c r="S96" s="15" t="n"/>
      <c r="T96" s="25" t="n"/>
      <c r="U96" s="25" t="n"/>
      <c r="V96" s="26" t="n"/>
    </row>
    <row r="97" ht="15.75" customHeight="1" s="94">
      <c r="A97" s="49" t="n"/>
      <c r="B97" s="11" t="n"/>
      <c r="J97" s="15" t="n"/>
      <c r="K97" s="13" t="n"/>
      <c r="L97" s="50" t="n"/>
      <c r="M97" s="50" t="n"/>
      <c r="N97" s="51" t="n"/>
      <c r="O97" s="54" t="n"/>
      <c r="P97" s="50" t="n"/>
      <c r="Q97" s="51" t="n"/>
      <c r="R97" s="52" t="n"/>
      <c r="S97" s="15" t="n"/>
      <c r="T97" s="25" t="n"/>
      <c r="U97" s="25" t="n"/>
      <c r="V97" s="26" t="n"/>
    </row>
    <row r="98" ht="15.75" customHeight="1" s="94">
      <c r="A98" s="49" t="n"/>
      <c r="B98" s="11" t="n"/>
      <c r="J98" s="15" t="n"/>
      <c r="K98" s="13" t="n"/>
      <c r="L98" s="50" t="n"/>
      <c r="M98" s="50" t="n"/>
      <c r="N98" s="51" t="n"/>
      <c r="O98" s="54" t="n"/>
      <c r="P98" s="50" t="n"/>
      <c r="Q98" s="51" t="n"/>
      <c r="R98" s="52" t="n"/>
      <c r="S98" s="15" t="n"/>
      <c r="T98" s="25" t="n"/>
      <c r="U98" s="25" t="n"/>
      <c r="V98" s="26" t="n"/>
    </row>
    <row r="99" ht="15.75" customHeight="1" s="94">
      <c r="A99" s="49" t="n"/>
      <c r="B99" s="11" t="n"/>
      <c r="J99" s="15" t="n"/>
      <c r="K99" s="13" t="n"/>
      <c r="L99" s="50" t="n"/>
      <c r="M99" s="50" t="n"/>
      <c r="N99" s="51" t="n"/>
      <c r="O99" s="54" t="n"/>
      <c r="P99" s="50" t="n"/>
      <c r="Q99" s="51" t="n"/>
      <c r="R99" s="52" t="n"/>
      <c r="S99" s="15" t="n"/>
      <c r="T99" s="25" t="n"/>
      <c r="U99" s="25" t="n"/>
      <c r="V99" s="26" t="n"/>
    </row>
    <row r="100" ht="15.75" customHeight="1" s="94">
      <c r="A100" s="49" t="n"/>
      <c r="B100" s="11" t="n"/>
      <c r="J100" s="15" t="n"/>
      <c r="K100" s="13" t="n"/>
      <c r="L100" s="50" t="n"/>
      <c r="M100" s="50" t="n"/>
      <c r="N100" s="51" t="n"/>
      <c r="O100" s="54" t="n"/>
      <c r="P100" s="50" t="n"/>
      <c r="Q100" s="51" t="n"/>
      <c r="R100" s="52" t="n"/>
      <c r="S100" s="15" t="n"/>
      <c r="T100" s="25" t="n"/>
      <c r="U100" s="25" t="n"/>
      <c r="V100" s="26" t="n"/>
    </row>
    <row r="101" ht="15.75" customHeight="1" s="94">
      <c r="A101" s="49" t="n"/>
      <c r="B101" s="11" t="n"/>
      <c r="J101" s="15" t="n"/>
      <c r="K101" s="13" t="n"/>
      <c r="L101" s="50" t="n"/>
      <c r="M101" s="50" t="n"/>
      <c r="N101" s="51" t="n"/>
      <c r="O101" s="54" t="n"/>
      <c r="P101" s="50" t="n"/>
      <c r="Q101" s="51" t="n"/>
      <c r="R101" s="52" t="n"/>
      <c r="S101" s="15" t="n"/>
      <c r="T101" s="25" t="n"/>
      <c r="U101" s="25" t="n"/>
      <c r="V101" s="26" t="n"/>
    </row>
    <row r="102" ht="15.75" customHeight="1" s="94">
      <c r="A102" s="49" t="n"/>
      <c r="B102" s="11" t="n"/>
      <c r="J102" s="15" t="n"/>
      <c r="K102" s="13" t="n"/>
      <c r="L102" s="50" t="n"/>
      <c r="M102" s="50" t="n"/>
      <c r="N102" s="51" t="n"/>
      <c r="O102" s="54" t="n"/>
      <c r="P102" s="50" t="n"/>
      <c r="Q102" s="51" t="n"/>
      <c r="R102" s="52" t="n"/>
      <c r="S102" s="15" t="n"/>
      <c r="T102" s="25" t="n"/>
      <c r="U102" s="25" t="n"/>
      <c r="V102" s="26" t="n"/>
    </row>
    <row r="103" ht="15.75" customHeight="1" s="94">
      <c r="A103" s="49" t="n"/>
      <c r="B103" s="11" t="n"/>
      <c r="J103" s="15" t="n"/>
      <c r="K103" s="13" t="n"/>
      <c r="L103" s="50" t="n"/>
      <c r="M103" s="50" t="n"/>
      <c r="N103" s="51" t="n"/>
      <c r="O103" s="54" t="n"/>
      <c r="P103" s="50" t="n"/>
      <c r="Q103" s="51" t="n"/>
      <c r="R103" s="52" t="n"/>
      <c r="S103" s="15" t="n"/>
      <c r="T103" s="25" t="n"/>
      <c r="U103" s="25" t="n"/>
      <c r="V103" s="26" t="n"/>
    </row>
    <row r="104" ht="15.75" customHeight="1" s="94">
      <c r="A104" s="49" t="n"/>
      <c r="B104" s="11" t="n"/>
      <c r="J104" s="15" t="n"/>
      <c r="K104" s="13" t="n"/>
      <c r="L104" s="50" t="n"/>
      <c r="M104" s="50" t="n"/>
      <c r="N104" s="51" t="n"/>
      <c r="O104" s="54" t="n"/>
      <c r="P104" s="50" t="n"/>
      <c r="Q104" s="51" t="n"/>
      <c r="R104" s="52" t="n"/>
      <c r="S104" s="15" t="n"/>
      <c r="T104" s="25" t="n"/>
      <c r="U104" s="25" t="n"/>
      <c r="V104" s="26" t="n"/>
    </row>
    <row r="105" ht="15.75" customHeight="1" s="94">
      <c r="A105" s="49" t="n"/>
      <c r="B105" s="11" t="n"/>
      <c r="J105" s="15" t="n"/>
      <c r="K105" s="13" t="n"/>
      <c r="L105" s="50" t="n"/>
      <c r="M105" s="50" t="n"/>
      <c r="N105" s="51" t="n"/>
      <c r="O105" s="54" t="n"/>
      <c r="P105" s="50" t="n"/>
      <c r="Q105" s="51" t="n"/>
      <c r="R105" s="52" t="n"/>
      <c r="S105" s="15" t="n"/>
      <c r="T105" s="25" t="n"/>
      <c r="U105" s="25" t="n"/>
      <c r="V105" s="26" t="n"/>
    </row>
    <row r="106" ht="15.75" customHeight="1" s="94">
      <c r="A106" s="49" t="n"/>
      <c r="B106" s="11" t="n"/>
      <c r="J106" s="15" t="n"/>
      <c r="K106" s="13" t="n"/>
      <c r="L106" s="50" t="n"/>
      <c r="M106" s="50" t="n"/>
      <c r="N106" s="51" t="n"/>
      <c r="O106" s="54" t="n"/>
      <c r="P106" s="50" t="n"/>
      <c r="Q106" s="51" t="n"/>
      <c r="R106" s="52" t="n"/>
      <c r="S106" s="15" t="n"/>
      <c r="T106" s="25" t="n"/>
      <c r="U106" s="25" t="n"/>
      <c r="V106" s="26" t="n"/>
    </row>
    <row r="107" ht="15.75" customHeight="1" s="94">
      <c r="A107" s="49" t="n"/>
      <c r="B107" s="11" t="n"/>
      <c r="J107" s="15" t="n"/>
      <c r="K107" s="13" t="n"/>
      <c r="L107" s="50" t="n"/>
      <c r="M107" s="50" t="n"/>
      <c r="N107" s="51" t="n"/>
      <c r="O107" s="54" t="n"/>
      <c r="P107" s="50" t="n"/>
      <c r="Q107" s="51" t="n"/>
      <c r="R107" s="52" t="n"/>
      <c r="S107" s="15" t="n"/>
      <c r="T107" s="25" t="n"/>
      <c r="U107" s="25" t="n"/>
      <c r="V107" s="26" t="n"/>
    </row>
    <row r="108" ht="15.75" customHeight="1" s="94">
      <c r="A108" s="49" t="n"/>
      <c r="B108" s="11" t="n"/>
      <c r="J108" s="15" t="n"/>
      <c r="K108" s="13" t="n"/>
      <c r="L108" s="50" t="n"/>
      <c r="M108" s="50" t="n"/>
      <c r="N108" s="51" t="n"/>
      <c r="O108" s="54" t="n"/>
      <c r="P108" s="50" t="n"/>
      <c r="Q108" s="51" t="n"/>
      <c r="R108" s="52" t="n"/>
      <c r="S108" s="15" t="n"/>
      <c r="T108" s="25" t="n"/>
      <c r="U108" s="25" t="n"/>
      <c r="V108" s="26" t="n"/>
    </row>
    <row r="109" ht="15.75" customHeight="1" s="94">
      <c r="A109" s="49" t="n"/>
      <c r="B109" s="11" t="n"/>
      <c r="J109" s="15" t="n"/>
      <c r="K109" s="13" t="n"/>
      <c r="L109" s="50" t="n"/>
      <c r="M109" s="50" t="n"/>
      <c r="N109" s="51" t="n"/>
      <c r="O109" s="54" t="n"/>
      <c r="P109" s="50" t="n"/>
      <c r="Q109" s="51" t="n"/>
      <c r="R109" s="52" t="n"/>
      <c r="S109" s="15" t="n"/>
      <c r="T109" s="25" t="n"/>
      <c r="U109" s="25" t="n"/>
      <c r="V109" s="26" t="n"/>
    </row>
    <row r="110" ht="15.75" customHeight="1" s="94">
      <c r="A110" s="49" t="n"/>
      <c r="B110" s="11" t="n"/>
      <c r="J110" s="15" t="n"/>
      <c r="K110" s="13" t="n"/>
      <c r="L110" s="50" t="n"/>
      <c r="M110" s="50" t="n"/>
      <c r="N110" s="51" t="n"/>
      <c r="O110" s="54" t="n"/>
      <c r="P110" s="50" t="n"/>
      <c r="Q110" s="51" t="n"/>
      <c r="R110" s="52" t="n"/>
      <c r="S110" s="15" t="n"/>
      <c r="T110" s="25" t="n"/>
      <c r="U110" s="25" t="n"/>
      <c r="V110" s="26" t="n"/>
    </row>
    <row r="111" ht="15.75" customHeight="1" s="94">
      <c r="A111" s="49" t="n"/>
      <c r="B111" s="11" t="n"/>
      <c r="J111" s="15" t="n"/>
      <c r="K111" s="13" t="n"/>
      <c r="L111" s="50" t="n"/>
      <c r="M111" s="50" t="n"/>
      <c r="N111" s="51" t="n"/>
      <c r="O111" s="54" t="n"/>
      <c r="P111" s="50" t="n"/>
      <c r="Q111" s="51" t="n"/>
      <c r="R111" s="52" t="n"/>
      <c r="S111" s="15" t="n"/>
      <c r="T111" s="25" t="n"/>
      <c r="U111" s="25" t="n"/>
      <c r="V111" s="26" t="n"/>
    </row>
    <row r="112" ht="15.75" customHeight="1" s="94">
      <c r="A112" s="49" t="n"/>
      <c r="B112" s="11" t="n"/>
      <c r="J112" s="15" t="n"/>
      <c r="K112" s="13" t="n"/>
      <c r="L112" s="50" t="n"/>
      <c r="M112" s="50" t="n"/>
      <c r="N112" s="51" t="n"/>
      <c r="O112" s="54" t="n"/>
      <c r="P112" s="50" t="n"/>
      <c r="Q112" s="51" t="n"/>
      <c r="R112" s="52" t="n"/>
      <c r="S112" s="15" t="n"/>
      <c r="T112" s="25" t="n"/>
      <c r="U112" s="25" t="n"/>
      <c r="V112" s="26" t="n"/>
    </row>
    <row r="113" ht="15.75" customHeight="1" s="94">
      <c r="A113" s="49" t="n"/>
      <c r="B113" s="11" t="n"/>
      <c r="J113" s="15" t="n"/>
      <c r="K113" s="13" t="n"/>
      <c r="L113" s="50" t="n"/>
      <c r="M113" s="50" t="n"/>
      <c r="N113" s="51" t="n"/>
      <c r="O113" s="54" t="n"/>
      <c r="P113" s="50" t="n"/>
      <c r="Q113" s="51" t="n"/>
      <c r="R113" s="52" t="n"/>
      <c r="S113" s="15" t="n"/>
      <c r="T113" s="25" t="n"/>
      <c r="U113" s="25" t="n"/>
      <c r="V113" s="26" t="n"/>
    </row>
    <row r="114" ht="15.75" customHeight="1" s="94">
      <c r="A114" s="49" t="n"/>
      <c r="B114" s="11" t="n"/>
      <c r="J114" s="15" t="n"/>
      <c r="K114" s="13" t="n"/>
      <c r="L114" s="50" t="n"/>
      <c r="M114" s="50" t="n"/>
      <c r="N114" s="51" t="n"/>
      <c r="O114" s="54" t="n"/>
      <c r="P114" s="50" t="n"/>
      <c r="Q114" s="51" t="n"/>
      <c r="R114" s="52" t="n"/>
      <c r="S114" s="15" t="n"/>
      <c r="T114" s="25" t="n"/>
      <c r="U114" s="25" t="n"/>
      <c r="V114" s="26" t="n"/>
    </row>
    <row r="115" ht="15.75" customHeight="1" s="94">
      <c r="A115" s="49" t="n"/>
      <c r="B115" s="11" t="n"/>
      <c r="J115" s="15" t="n"/>
      <c r="K115" s="13" t="n"/>
      <c r="L115" s="50" t="n"/>
      <c r="M115" s="50" t="n"/>
      <c r="N115" s="51" t="n"/>
      <c r="O115" s="54" t="n"/>
      <c r="P115" s="50" t="n"/>
      <c r="Q115" s="51" t="n"/>
      <c r="R115" s="52" t="n"/>
      <c r="S115" s="15" t="n"/>
      <c r="T115" s="25" t="n"/>
      <c r="U115" s="25" t="n"/>
      <c r="V115" s="26" t="n"/>
    </row>
    <row r="116" ht="15.75" customHeight="1" s="94">
      <c r="A116" s="49" t="n"/>
      <c r="B116" s="11" t="n"/>
      <c r="J116" s="15" t="n"/>
      <c r="K116" s="13" t="n"/>
      <c r="L116" s="50" t="n"/>
      <c r="M116" s="50" t="n"/>
      <c r="N116" s="51" t="n"/>
      <c r="O116" s="54" t="n"/>
      <c r="P116" s="50" t="n"/>
      <c r="Q116" s="51" t="n"/>
      <c r="R116" s="52" t="n"/>
      <c r="S116" s="15" t="n"/>
      <c r="T116" s="25" t="n"/>
      <c r="U116" s="25" t="n"/>
      <c r="V116" s="26" t="n"/>
    </row>
    <row r="117" ht="15.75" customHeight="1" s="94">
      <c r="A117" s="49" t="n"/>
      <c r="B117" s="11" t="n"/>
      <c r="J117" s="15" t="n"/>
      <c r="K117" s="13" t="n"/>
      <c r="L117" s="50" t="n"/>
      <c r="M117" s="50" t="n"/>
      <c r="N117" s="51" t="n"/>
      <c r="O117" s="54" t="n"/>
      <c r="P117" s="50" t="n"/>
      <c r="Q117" s="51" t="n"/>
      <c r="R117" s="52" t="n"/>
      <c r="S117" s="15" t="n"/>
      <c r="T117" s="25" t="n"/>
      <c r="U117" s="25" t="n"/>
      <c r="V117" s="26" t="n"/>
    </row>
    <row r="118" ht="15.75" customHeight="1" s="94">
      <c r="A118" s="49" t="n"/>
      <c r="B118" s="11" t="n"/>
      <c r="J118" s="15" t="n"/>
      <c r="K118" s="13" t="n"/>
      <c r="L118" s="50" t="n"/>
      <c r="M118" s="50" t="n"/>
      <c r="N118" s="51" t="n"/>
      <c r="O118" s="54" t="n"/>
      <c r="P118" s="50" t="n"/>
      <c r="Q118" s="51" t="n"/>
      <c r="R118" s="52" t="n"/>
      <c r="S118" s="15" t="n"/>
      <c r="T118" s="25" t="n"/>
      <c r="U118" s="25" t="n"/>
      <c r="V118" s="26" t="n"/>
    </row>
    <row r="119" ht="15.75" customHeight="1" s="94">
      <c r="A119" s="49" t="n"/>
      <c r="B119" s="11" t="n"/>
      <c r="J119" s="15" t="n"/>
      <c r="K119" s="13" t="n"/>
      <c r="L119" s="50" t="n"/>
      <c r="M119" s="50" t="n"/>
      <c r="N119" s="51" t="n"/>
      <c r="O119" s="54" t="n"/>
      <c r="P119" s="50" t="n"/>
      <c r="Q119" s="51" t="n"/>
      <c r="R119" s="52" t="n"/>
      <c r="S119" s="15" t="n"/>
      <c r="T119" s="25" t="n"/>
      <c r="U119" s="25" t="n"/>
      <c r="V119" s="26" t="n"/>
    </row>
    <row r="120" ht="15.75" customHeight="1" s="94">
      <c r="A120" s="49" t="n"/>
      <c r="B120" s="11" t="n"/>
      <c r="J120" s="15" t="n"/>
      <c r="K120" s="13" t="n"/>
      <c r="L120" s="50" t="n"/>
      <c r="M120" s="50" t="n"/>
      <c r="N120" s="51" t="n"/>
      <c r="O120" s="54" t="n"/>
      <c r="P120" s="50" t="n"/>
      <c r="Q120" s="51" t="n"/>
      <c r="R120" s="52" t="n"/>
      <c r="S120" s="15" t="n"/>
      <c r="T120" s="25" t="n"/>
      <c r="U120" s="25" t="n"/>
      <c r="V120" s="26" t="n"/>
    </row>
    <row r="121" ht="15.75" customHeight="1" s="94">
      <c r="A121" s="49" t="n"/>
      <c r="B121" s="11" t="n"/>
      <c r="J121" s="15" t="n"/>
      <c r="K121" s="13" t="n"/>
      <c r="L121" s="50" t="n"/>
      <c r="M121" s="50" t="n"/>
      <c r="N121" s="51" t="n"/>
      <c r="O121" s="54" t="n"/>
      <c r="P121" s="50" t="n"/>
      <c r="Q121" s="51" t="n"/>
      <c r="R121" s="52" t="n"/>
      <c r="S121" s="15" t="n"/>
      <c r="T121" s="25" t="n"/>
      <c r="U121" s="25" t="n"/>
      <c r="V121" s="26" t="n"/>
    </row>
    <row r="122" ht="15.75" customHeight="1" s="94">
      <c r="A122" s="49" t="n"/>
      <c r="B122" s="11" t="n"/>
      <c r="J122" s="15" t="n"/>
      <c r="K122" s="13" t="n"/>
      <c r="L122" s="50" t="n"/>
      <c r="M122" s="50" t="n"/>
      <c r="N122" s="51" t="n"/>
      <c r="O122" s="54" t="n"/>
      <c r="P122" s="50" t="n"/>
      <c r="Q122" s="51" t="n"/>
      <c r="R122" s="52" t="n"/>
      <c r="S122" s="15" t="n"/>
      <c r="T122" s="25" t="n"/>
      <c r="U122" s="25" t="n"/>
      <c r="V122" s="26" t="n"/>
    </row>
    <row r="123" ht="15.75" customHeight="1" s="94">
      <c r="A123" s="49" t="n"/>
      <c r="B123" s="11" t="n"/>
      <c r="J123" s="15" t="n"/>
      <c r="K123" s="13" t="n"/>
      <c r="L123" s="50" t="n"/>
      <c r="M123" s="50" t="n"/>
      <c r="N123" s="51" t="n"/>
      <c r="O123" s="54" t="n"/>
      <c r="P123" s="50" t="n"/>
      <c r="Q123" s="51" t="n"/>
      <c r="R123" s="52" t="n"/>
      <c r="S123" s="15" t="n"/>
      <c r="T123" s="25" t="n"/>
      <c r="U123" s="25" t="n"/>
      <c r="V123" s="26" t="n"/>
    </row>
    <row r="124" ht="15.75" customHeight="1" s="94">
      <c r="A124" s="49" t="n"/>
      <c r="B124" s="11" t="n"/>
      <c r="J124" s="15" t="n"/>
      <c r="K124" s="13" t="n"/>
      <c r="L124" s="50" t="n"/>
      <c r="M124" s="50" t="n"/>
      <c r="N124" s="51" t="n"/>
      <c r="O124" s="54" t="n"/>
      <c r="P124" s="50" t="n"/>
      <c r="Q124" s="51" t="n"/>
      <c r="R124" s="52" t="n"/>
      <c r="S124" s="15" t="n"/>
      <c r="T124" s="25" t="n"/>
      <c r="U124" s="25" t="n"/>
      <c r="V124" s="26" t="n"/>
    </row>
    <row r="125" ht="15.75" customHeight="1" s="94">
      <c r="A125" s="49" t="n"/>
      <c r="B125" s="11" t="n"/>
      <c r="J125" s="15" t="n"/>
      <c r="K125" s="13" t="n"/>
      <c r="L125" s="50" t="n"/>
      <c r="M125" s="50" t="n"/>
      <c r="N125" s="51" t="n"/>
      <c r="O125" s="54" t="n"/>
      <c r="P125" s="50" t="n"/>
      <c r="Q125" s="51" t="n"/>
      <c r="R125" s="52" t="n"/>
      <c r="S125" s="15" t="n"/>
      <c r="T125" s="25" t="n"/>
      <c r="U125" s="25" t="n"/>
      <c r="V125" s="26" t="n"/>
    </row>
    <row r="126" ht="15.75" customHeight="1" s="94">
      <c r="A126" s="49" t="n"/>
      <c r="B126" s="11" t="n"/>
      <c r="J126" s="15" t="n"/>
      <c r="K126" s="13" t="n"/>
      <c r="L126" s="50" t="n"/>
      <c r="M126" s="50" t="n"/>
      <c r="N126" s="51" t="n"/>
      <c r="O126" s="54" t="n"/>
      <c r="P126" s="50" t="n"/>
      <c r="Q126" s="51" t="n"/>
      <c r="R126" s="52" t="n"/>
      <c r="S126" s="15" t="n"/>
      <c r="T126" s="25" t="n"/>
      <c r="U126" s="25" t="n"/>
      <c r="V126" s="26" t="n"/>
    </row>
    <row r="127" ht="15.75" customHeight="1" s="94">
      <c r="A127" s="49" t="n"/>
      <c r="B127" s="11" t="n"/>
      <c r="J127" s="15" t="n"/>
      <c r="K127" s="13" t="n"/>
      <c r="L127" s="50" t="n"/>
      <c r="M127" s="50" t="n"/>
      <c r="N127" s="51" t="n"/>
      <c r="O127" s="54" t="n"/>
      <c r="P127" s="50" t="n"/>
      <c r="Q127" s="51" t="n"/>
      <c r="R127" s="52" t="n"/>
      <c r="S127" s="15" t="n"/>
      <c r="T127" s="25" t="n"/>
      <c r="U127" s="25" t="n"/>
      <c r="V127" s="26" t="n"/>
    </row>
    <row r="128" ht="15.75" customHeight="1" s="94">
      <c r="A128" s="49" t="n"/>
      <c r="B128" s="11" t="n"/>
      <c r="J128" s="15" t="n"/>
      <c r="K128" s="13" t="n"/>
      <c r="L128" s="50" t="n"/>
      <c r="M128" s="50" t="n"/>
      <c r="N128" s="51" t="n"/>
      <c r="O128" s="54" t="n"/>
      <c r="P128" s="50" t="n"/>
      <c r="Q128" s="51" t="n"/>
      <c r="R128" s="52" t="n"/>
      <c r="S128" s="15" t="n"/>
      <c r="T128" s="25" t="n"/>
      <c r="U128" s="25" t="n"/>
      <c r="V128" s="26" t="n"/>
    </row>
    <row r="129" ht="15.75" customHeight="1" s="94">
      <c r="A129" s="49" t="n"/>
      <c r="B129" s="11" t="n"/>
      <c r="J129" s="15" t="n"/>
      <c r="K129" s="13" t="n"/>
      <c r="L129" s="50" t="n"/>
      <c r="M129" s="50" t="n"/>
      <c r="N129" s="51" t="n"/>
      <c r="O129" s="54" t="n"/>
      <c r="P129" s="50" t="n"/>
      <c r="Q129" s="51" t="n"/>
      <c r="R129" s="52" t="n"/>
      <c r="S129" s="15" t="n"/>
      <c r="T129" s="25" t="n"/>
      <c r="U129" s="25" t="n"/>
      <c r="V129" s="26" t="n"/>
    </row>
    <row r="130" ht="15.75" customHeight="1" s="94">
      <c r="A130" s="49" t="n"/>
      <c r="B130" s="11" t="n"/>
      <c r="J130" s="15" t="n"/>
      <c r="K130" s="13" t="n"/>
      <c r="L130" s="50" t="n"/>
      <c r="M130" s="50" t="n"/>
      <c r="N130" s="51" t="n"/>
      <c r="O130" s="54" t="n"/>
      <c r="P130" s="50" t="n"/>
      <c r="Q130" s="51" t="n"/>
      <c r="R130" s="52" t="n"/>
      <c r="S130" s="15" t="n"/>
      <c r="T130" s="25" t="n"/>
      <c r="U130" s="25" t="n"/>
      <c r="V130" s="26" t="n"/>
    </row>
    <row r="131" ht="15.75" customHeight="1" s="94">
      <c r="A131" s="49" t="n"/>
      <c r="B131" s="11" t="n"/>
      <c r="J131" s="15" t="n"/>
      <c r="K131" s="13" t="n"/>
      <c r="L131" s="50" t="n"/>
      <c r="M131" s="50" t="n"/>
      <c r="N131" s="51" t="n"/>
      <c r="O131" s="54" t="n"/>
      <c r="P131" s="50" t="n"/>
      <c r="Q131" s="51" t="n"/>
      <c r="R131" s="52" t="n"/>
      <c r="S131" s="15" t="n"/>
      <c r="T131" s="25" t="n"/>
      <c r="U131" s="25" t="n"/>
      <c r="V131" s="26" t="n"/>
    </row>
    <row r="132" ht="15.75" customHeight="1" s="94">
      <c r="A132" s="49" t="n"/>
      <c r="B132" s="11" t="n"/>
      <c r="J132" s="15" t="n"/>
      <c r="K132" s="13" t="n"/>
      <c r="L132" s="50" t="n"/>
      <c r="M132" s="50" t="n"/>
      <c r="N132" s="51" t="n"/>
      <c r="O132" s="54" t="n"/>
      <c r="P132" s="50" t="n"/>
      <c r="Q132" s="51" t="n"/>
      <c r="R132" s="52" t="n"/>
      <c r="S132" s="15" t="n"/>
      <c r="T132" s="25" t="n"/>
      <c r="U132" s="25" t="n"/>
      <c r="V132" s="26" t="n"/>
    </row>
    <row r="133" ht="15.75" customHeight="1" s="94">
      <c r="A133" s="49" t="n"/>
      <c r="B133" s="11" t="n"/>
      <c r="J133" s="15" t="n"/>
      <c r="K133" s="13" t="n"/>
      <c r="L133" s="50" t="n"/>
      <c r="M133" s="50" t="n"/>
      <c r="N133" s="51" t="n"/>
      <c r="O133" s="54" t="n"/>
      <c r="P133" s="50" t="n"/>
      <c r="Q133" s="51" t="n"/>
      <c r="R133" s="52" t="n"/>
      <c r="S133" s="15" t="n"/>
      <c r="T133" s="25" t="n"/>
      <c r="U133" s="25" t="n"/>
      <c r="V133" s="26" t="n"/>
    </row>
    <row r="134" ht="15.75" customHeight="1" s="94">
      <c r="A134" s="49" t="n"/>
      <c r="B134" s="11" t="n"/>
      <c r="J134" s="15" t="n"/>
      <c r="K134" s="13" t="n"/>
      <c r="L134" s="50" t="n"/>
      <c r="M134" s="50" t="n"/>
      <c r="N134" s="51" t="n"/>
      <c r="O134" s="54" t="n"/>
      <c r="P134" s="50" t="n"/>
      <c r="Q134" s="51" t="n"/>
      <c r="R134" s="52" t="n"/>
      <c r="S134" s="15" t="n"/>
      <c r="T134" s="25" t="n"/>
      <c r="U134" s="25" t="n"/>
      <c r="V134" s="26" t="n"/>
    </row>
    <row r="135" ht="15.75" customHeight="1" s="94">
      <c r="A135" s="49" t="n"/>
      <c r="B135" s="11" t="n"/>
      <c r="J135" s="15" t="n"/>
      <c r="K135" s="13" t="n"/>
      <c r="L135" s="50" t="n"/>
      <c r="M135" s="50" t="n"/>
      <c r="N135" s="51" t="n"/>
      <c r="O135" s="54" t="n"/>
      <c r="P135" s="50" t="n"/>
      <c r="Q135" s="51" t="n"/>
      <c r="R135" s="52" t="n"/>
      <c r="S135" s="15" t="n"/>
      <c r="T135" s="25" t="n"/>
      <c r="U135" s="25" t="n"/>
      <c r="V135" s="26" t="n"/>
    </row>
    <row r="136" ht="15.75" customHeight="1" s="94">
      <c r="A136" s="49" t="n"/>
      <c r="B136" s="11" t="n"/>
      <c r="J136" s="15" t="n"/>
      <c r="K136" s="13" t="n"/>
      <c r="L136" s="50" t="n"/>
      <c r="M136" s="50" t="n"/>
      <c r="N136" s="51" t="n"/>
      <c r="O136" s="54" t="n"/>
      <c r="P136" s="50" t="n"/>
      <c r="Q136" s="51" t="n"/>
      <c r="R136" s="52" t="n"/>
      <c r="S136" s="15" t="n"/>
      <c r="T136" s="25" t="n"/>
      <c r="U136" s="25" t="n"/>
      <c r="V136" s="26" t="n"/>
    </row>
    <row r="137" ht="15.75" customHeight="1" s="94">
      <c r="A137" s="49" t="n"/>
      <c r="B137" s="11" t="n"/>
      <c r="J137" s="15" t="n"/>
      <c r="K137" s="13" t="n"/>
      <c r="L137" s="50" t="n"/>
      <c r="M137" s="50" t="n"/>
      <c r="N137" s="51" t="n"/>
      <c r="O137" s="54" t="n"/>
      <c r="P137" s="50" t="n"/>
      <c r="Q137" s="51" t="n"/>
      <c r="R137" s="52" t="n"/>
      <c r="S137" s="15" t="n"/>
      <c r="T137" s="25" t="n"/>
      <c r="U137" s="25" t="n"/>
      <c r="V137" s="26" t="n"/>
    </row>
    <row r="138" ht="15.75" customHeight="1" s="94">
      <c r="A138" s="49" t="n"/>
      <c r="B138" s="11" t="n"/>
      <c r="J138" s="15" t="n"/>
      <c r="K138" s="13" t="n"/>
      <c r="L138" s="50" t="n"/>
      <c r="M138" s="50" t="n"/>
      <c r="N138" s="51" t="n"/>
      <c r="O138" s="54" t="n"/>
      <c r="P138" s="50" t="n"/>
      <c r="Q138" s="51" t="n"/>
      <c r="R138" s="52" t="n"/>
      <c r="S138" s="15" t="n"/>
      <c r="T138" s="25" t="n"/>
      <c r="U138" s="25" t="n"/>
      <c r="V138" s="26" t="n"/>
    </row>
    <row r="139" ht="15.75" customHeight="1" s="94">
      <c r="A139" s="49" t="n"/>
      <c r="B139" s="11" t="n"/>
      <c r="J139" s="15" t="n"/>
      <c r="K139" s="13" t="n"/>
      <c r="L139" s="50" t="n"/>
      <c r="M139" s="50" t="n"/>
      <c r="N139" s="51" t="n"/>
      <c r="O139" s="54" t="n"/>
      <c r="P139" s="50" t="n"/>
      <c r="Q139" s="51" t="n"/>
      <c r="R139" s="52" t="n"/>
      <c r="S139" s="15" t="n"/>
      <c r="T139" s="25" t="n"/>
      <c r="U139" s="25" t="n"/>
      <c r="V139" s="26" t="n"/>
    </row>
    <row r="140" ht="15.75" customHeight="1" s="94">
      <c r="A140" s="49" t="n"/>
      <c r="B140" s="11" t="n"/>
      <c r="J140" s="15" t="n"/>
      <c r="K140" s="13" t="n"/>
      <c r="L140" s="50" t="n"/>
      <c r="M140" s="50" t="n"/>
      <c r="N140" s="51" t="n"/>
      <c r="O140" s="54" t="n"/>
      <c r="P140" s="50" t="n"/>
      <c r="Q140" s="51" t="n"/>
      <c r="R140" s="52" t="n"/>
      <c r="S140" s="15" t="n"/>
      <c r="T140" s="25" t="n"/>
      <c r="U140" s="25" t="n"/>
      <c r="V140" s="26" t="n"/>
    </row>
    <row r="141" ht="15.75" customHeight="1" s="94">
      <c r="A141" s="49" t="n"/>
      <c r="B141" s="11" t="n"/>
      <c r="J141" s="15" t="n"/>
      <c r="K141" s="13" t="n"/>
      <c r="L141" s="50" t="n"/>
      <c r="M141" s="50" t="n"/>
      <c r="N141" s="51" t="n"/>
      <c r="O141" s="54" t="n"/>
      <c r="P141" s="50" t="n"/>
      <c r="Q141" s="51" t="n"/>
      <c r="R141" s="52" t="n"/>
      <c r="S141" s="15" t="n"/>
      <c r="T141" s="25" t="n"/>
      <c r="U141" s="25" t="n"/>
      <c r="V141" s="26" t="n"/>
    </row>
    <row r="142" ht="15.75" customHeight="1" s="94">
      <c r="A142" s="49" t="n"/>
      <c r="B142" s="11" t="n"/>
      <c r="J142" s="15" t="n"/>
      <c r="K142" s="13" t="n"/>
      <c r="L142" s="50" t="n"/>
      <c r="M142" s="50" t="n"/>
      <c r="N142" s="51" t="n"/>
      <c r="O142" s="54" t="n"/>
      <c r="P142" s="50" t="n"/>
      <c r="Q142" s="51" t="n"/>
      <c r="R142" s="52" t="n"/>
      <c r="S142" s="15" t="n"/>
      <c r="T142" s="25" t="n"/>
      <c r="U142" s="25" t="n"/>
      <c r="V142" s="26" t="n"/>
    </row>
    <row r="143" ht="15.75" customHeight="1" s="94">
      <c r="A143" s="49" t="n"/>
      <c r="B143" s="11" t="n"/>
      <c r="J143" s="15" t="n"/>
      <c r="K143" s="13" t="n"/>
      <c r="L143" s="50" t="n"/>
      <c r="M143" s="50" t="n"/>
      <c r="N143" s="51" t="n"/>
      <c r="O143" s="54" t="n"/>
      <c r="P143" s="50" t="n"/>
      <c r="Q143" s="51" t="n"/>
      <c r="R143" s="52" t="n"/>
      <c r="S143" s="15" t="n"/>
      <c r="T143" s="25" t="n"/>
      <c r="U143" s="25" t="n"/>
      <c r="V143" s="26" t="n"/>
    </row>
    <row r="144" ht="15.75" customHeight="1" s="94">
      <c r="A144" s="49" t="n"/>
      <c r="B144" s="11" t="n"/>
      <c r="J144" s="15" t="n"/>
      <c r="K144" s="13" t="n"/>
      <c r="L144" s="50" t="n"/>
      <c r="M144" s="50" t="n"/>
      <c r="N144" s="51" t="n"/>
      <c r="O144" s="54" t="n"/>
      <c r="P144" s="50" t="n"/>
      <c r="Q144" s="51" t="n"/>
      <c r="R144" s="52" t="n"/>
      <c r="S144" s="15" t="n"/>
      <c r="T144" s="25" t="n"/>
      <c r="U144" s="25" t="n"/>
      <c r="V144" s="26" t="n"/>
    </row>
    <row r="145" ht="15.75" customHeight="1" s="94">
      <c r="A145" s="49" t="n"/>
      <c r="B145" s="11" t="n"/>
      <c r="J145" s="15" t="n"/>
      <c r="K145" s="13" t="n"/>
      <c r="L145" s="50" t="n"/>
      <c r="M145" s="50" t="n"/>
      <c r="N145" s="51" t="n"/>
      <c r="O145" s="54" t="n"/>
      <c r="P145" s="50" t="n"/>
      <c r="Q145" s="51" t="n"/>
      <c r="R145" s="52" t="n"/>
      <c r="S145" s="15" t="n"/>
      <c r="T145" s="25" t="n"/>
      <c r="U145" s="25" t="n"/>
      <c r="V145" s="26" t="n"/>
    </row>
    <row r="146" ht="15.75" customHeight="1" s="94">
      <c r="A146" s="49" t="n"/>
      <c r="B146" s="11" t="n"/>
      <c r="J146" s="15" t="n"/>
      <c r="K146" s="13" t="n"/>
      <c r="L146" s="50" t="n"/>
      <c r="M146" s="50" t="n"/>
      <c r="N146" s="51" t="n"/>
      <c r="O146" s="54" t="n"/>
      <c r="P146" s="50" t="n"/>
      <c r="Q146" s="51" t="n"/>
      <c r="R146" s="52" t="n"/>
      <c r="S146" s="15" t="n"/>
      <c r="T146" s="25" t="n"/>
      <c r="U146" s="25" t="n"/>
      <c r="V146" s="26" t="n"/>
    </row>
    <row r="147" ht="15.75" customHeight="1" s="94">
      <c r="A147" s="49" t="n"/>
      <c r="B147" s="11" t="n"/>
      <c r="J147" s="15" t="n"/>
      <c r="K147" s="13" t="n"/>
      <c r="L147" s="50" t="n"/>
      <c r="M147" s="50" t="n"/>
      <c r="N147" s="51" t="n"/>
      <c r="O147" s="54" t="n"/>
      <c r="P147" s="50" t="n"/>
      <c r="Q147" s="51" t="n"/>
      <c r="R147" s="52" t="n"/>
      <c r="S147" s="15" t="n"/>
      <c r="T147" s="25" t="n"/>
      <c r="U147" s="25" t="n"/>
      <c r="V147" s="26" t="n"/>
    </row>
    <row r="148" ht="15.75" customHeight="1" s="94">
      <c r="A148" s="49" t="n"/>
      <c r="B148" s="11" t="n"/>
      <c r="J148" s="15" t="n"/>
      <c r="K148" s="13" t="n"/>
      <c r="L148" s="50" t="n"/>
      <c r="M148" s="50" t="n"/>
      <c r="N148" s="51" t="n"/>
      <c r="O148" s="54" t="n"/>
      <c r="P148" s="50" t="n"/>
      <c r="Q148" s="51" t="n"/>
      <c r="R148" s="52" t="n"/>
      <c r="S148" s="15" t="n"/>
      <c r="T148" s="25" t="n"/>
      <c r="U148" s="25" t="n"/>
      <c r="V148" s="26" t="n"/>
    </row>
    <row r="149" ht="15.75" customHeight="1" s="94">
      <c r="A149" s="49" t="n"/>
      <c r="B149" s="11" t="n"/>
      <c r="J149" s="15" t="n"/>
      <c r="K149" s="13" t="n"/>
      <c r="L149" s="50" t="n"/>
      <c r="M149" s="50" t="n"/>
      <c r="N149" s="51" t="n"/>
      <c r="O149" s="54" t="n"/>
      <c r="P149" s="50" t="n"/>
      <c r="Q149" s="51" t="n"/>
      <c r="R149" s="52" t="n"/>
      <c r="S149" s="15" t="n"/>
      <c r="T149" s="25" t="n"/>
      <c r="U149" s="25" t="n"/>
      <c r="V149" s="26" t="n"/>
    </row>
    <row r="150" ht="15.75" customHeight="1" s="94">
      <c r="A150" s="49" t="n"/>
      <c r="B150" s="11" t="n"/>
      <c r="J150" s="15" t="n"/>
      <c r="K150" s="13" t="n"/>
      <c r="L150" s="50" t="n"/>
      <c r="M150" s="50" t="n"/>
      <c r="N150" s="51" t="n"/>
      <c r="O150" s="54" t="n"/>
      <c r="P150" s="50" t="n"/>
      <c r="Q150" s="51" t="n"/>
      <c r="R150" s="52" t="n"/>
      <c r="S150" s="15" t="n"/>
      <c r="T150" s="25" t="n"/>
      <c r="U150" s="25" t="n"/>
      <c r="V150" s="26" t="n"/>
    </row>
    <row r="151" ht="15.75" customHeight="1" s="94">
      <c r="A151" s="49" t="n"/>
      <c r="B151" s="11" t="n"/>
      <c r="J151" s="15" t="n"/>
      <c r="K151" s="13" t="n"/>
      <c r="L151" s="50" t="n"/>
      <c r="M151" s="50" t="n"/>
      <c r="N151" s="51" t="n"/>
      <c r="O151" s="54" t="n"/>
      <c r="P151" s="50" t="n"/>
      <c r="Q151" s="51" t="n"/>
      <c r="R151" s="52" t="n"/>
      <c r="S151" s="15" t="n"/>
      <c r="T151" s="25" t="n"/>
      <c r="U151" s="25" t="n"/>
      <c r="V151" s="26" t="n"/>
    </row>
    <row r="152" ht="15.75" customHeight="1" s="94">
      <c r="A152" s="49" t="n"/>
      <c r="B152" s="11" t="n"/>
      <c r="J152" s="15" t="n"/>
      <c r="K152" s="13" t="n"/>
      <c r="L152" s="50" t="n"/>
      <c r="M152" s="50" t="n"/>
      <c r="N152" s="51" t="n"/>
      <c r="O152" s="54" t="n"/>
      <c r="P152" s="50" t="n"/>
      <c r="Q152" s="51" t="n"/>
      <c r="R152" s="52" t="n"/>
      <c r="S152" s="15" t="n"/>
      <c r="T152" s="25" t="n"/>
      <c r="U152" s="25" t="n"/>
      <c r="V152" s="26" t="n"/>
    </row>
    <row r="153" ht="15.75" customHeight="1" s="94">
      <c r="A153" s="49" t="n"/>
      <c r="B153" s="11" t="n"/>
      <c r="J153" s="15" t="n"/>
      <c r="K153" s="13" t="n"/>
      <c r="L153" s="50" t="n"/>
      <c r="M153" s="50" t="n"/>
      <c r="N153" s="51" t="n"/>
      <c r="O153" s="54" t="n"/>
      <c r="P153" s="50" t="n"/>
      <c r="Q153" s="51" t="n"/>
      <c r="R153" s="52" t="n"/>
      <c r="S153" s="15" t="n"/>
      <c r="T153" s="25" t="n"/>
      <c r="U153" s="25" t="n"/>
      <c r="V153" s="26" t="n"/>
    </row>
    <row r="154" ht="15.75" customHeight="1" s="94">
      <c r="A154" s="49" t="n"/>
      <c r="B154" s="11" t="n"/>
      <c r="J154" s="15" t="n"/>
      <c r="K154" s="13" t="n"/>
      <c r="L154" s="50" t="n"/>
      <c r="M154" s="50" t="n"/>
      <c r="N154" s="51" t="n"/>
      <c r="O154" s="54" t="n"/>
      <c r="P154" s="50" t="n"/>
      <c r="Q154" s="51" t="n"/>
      <c r="R154" s="52" t="n"/>
      <c r="S154" s="15" t="n"/>
      <c r="T154" s="25" t="n"/>
      <c r="U154" s="25" t="n"/>
      <c r="V154" s="26" t="n"/>
    </row>
    <row r="155" ht="15.75" customHeight="1" s="94">
      <c r="A155" s="49" t="n"/>
      <c r="B155" s="11" t="n"/>
      <c r="J155" s="15" t="n"/>
      <c r="K155" s="13" t="n"/>
      <c r="L155" s="50" t="n"/>
      <c r="M155" s="50" t="n"/>
      <c r="N155" s="51" t="n"/>
      <c r="O155" s="54" t="n"/>
      <c r="P155" s="50" t="n"/>
      <c r="Q155" s="51" t="n"/>
      <c r="R155" s="52" t="n"/>
      <c r="S155" s="15" t="n"/>
      <c r="T155" s="25" t="n"/>
      <c r="U155" s="25" t="n"/>
      <c r="V155" s="26" t="n"/>
    </row>
    <row r="156" ht="15.75" customHeight="1" s="94">
      <c r="A156" s="49" t="n"/>
      <c r="B156" s="11" t="n"/>
      <c r="J156" s="15" t="n"/>
      <c r="K156" s="13" t="n"/>
      <c r="L156" s="50" t="n"/>
      <c r="M156" s="50" t="n"/>
      <c r="N156" s="51" t="n"/>
      <c r="O156" s="54" t="n"/>
      <c r="P156" s="50" t="n"/>
      <c r="Q156" s="51" t="n"/>
      <c r="R156" s="52" t="n"/>
      <c r="S156" s="15" t="n"/>
      <c r="T156" s="25" t="n"/>
      <c r="U156" s="25" t="n"/>
      <c r="V156" s="26" t="n"/>
    </row>
    <row r="157" ht="15.75" customHeight="1" s="94">
      <c r="A157" s="49" t="n"/>
      <c r="B157" s="11" t="n"/>
      <c r="J157" s="15" t="n"/>
      <c r="K157" s="13" t="n"/>
      <c r="L157" s="50" t="n"/>
      <c r="M157" s="50" t="n"/>
      <c r="N157" s="51" t="n"/>
      <c r="O157" s="54" t="n"/>
      <c r="P157" s="50" t="n"/>
      <c r="Q157" s="51" t="n"/>
      <c r="R157" s="52" t="n"/>
      <c r="S157" s="15" t="n"/>
      <c r="T157" s="25" t="n"/>
      <c r="U157" s="25" t="n"/>
      <c r="V157" s="26" t="n"/>
    </row>
    <row r="158" ht="15.75" customHeight="1" s="94">
      <c r="A158" s="49" t="n"/>
      <c r="B158" s="11" t="n"/>
      <c r="J158" s="15" t="n"/>
      <c r="K158" s="13" t="n"/>
      <c r="L158" s="50" t="n"/>
      <c r="M158" s="50" t="n"/>
      <c r="N158" s="51" t="n"/>
      <c r="O158" s="54" t="n"/>
      <c r="P158" s="50" t="n"/>
      <c r="Q158" s="51" t="n"/>
      <c r="R158" s="52" t="n"/>
      <c r="S158" s="15" t="n"/>
      <c r="T158" s="25" t="n"/>
      <c r="U158" s="25" t="n"/>
      <c r="V158" s="26" t="n"/>
    </row>
    <row r="159" ht="15.75" customHeight="1" s="94">
      <c r="A159" s="49" t="n"/>
      <c r="B159" s="11" t="n"/>
      <c r="J159" s="15" t="n"/>
      <c r="K159" s="13" t="n"/>
      <c r="L159" s="50" t="n"/>
      <c r="M159" s="50" t="n"/>
      <c r="N159" s="51" t="n"/>
      <c r="O159" s="54" t="n"/>
      <c r="P159" s="50" t="n"/>
      <c r="Q159" s="51" t="n"/>
      <c r="R159" s="52" t="n"/>
      <c r="S159" s="15" t="n"/>
      <c r="T159" s="25" t="n"/>
      <c r="U159" s="25" t="n"/>
      <c r="V159" s="26" t="n"/>
    </row>
    <row r="160" ht="15.75" customHeight="1" s="94">
      <c r="A160" s="49" t="n"/>
      <c r="B160" s="11" t="n"/>
      <c r="J160" s="15" t="n"/>
      <c r="K160" s="13" t="n"/>
      <c r="L160" s="50" t="n"/>
      <c r="M160" s="50" t="n"/>
      <c r="N160" s="51" t="n"/>
      <c r="O160" s="54" t="n"/>
      <c r="P160" s="50" t="n"/>
      <c r="Q160" s="51" t="n"/>
      <c r="R160" s="52" t="n"/>
      <c r="S160" s="15" t="n"/>
      <c r="T160" s="25" t="n"/>
      <c r="U160" s="25" t="n"/>
      <c r="V160" s="26" t="n"/>
    </row>
    <row r="161" ht="15.75" customHeight="1" s="94">
      <c r="A161" s="49" t="n"/>
      <c r="B161" s="11" t="n"/>
      <c r="J161" s="15" t="n"/>
      <c r="K161" s="13" t="n"/>
      <c r="L161" s="50" t="n"/>
      <c r="M161" s="50" t="n"/>
      <c r="N161" s="51" t="n"/>
      <c r="O161" s="54" t="n"/>
      <c r="P161" s="50" t="n"/>
      <c r="Q161" s="51" t="n"/>
      <c r="R161" s="52" t="n"/>
      <c r="S161" s="15" t="n"/>
      <c r="T161" s="25" t="n"/>
      <c r="U161" s="25" t="n"/>
      <c r="V161" s="26" t="n"/>
    </row>
    <row r="162" ht="15.75" customHeight="1" s="94">
      <c r="A162" s="49" t="n"/>
      <c r="B162" s="11" t="n"/>
      <c r="J162" s="15" t="n"/>
      <c r="K162" s="13" t="n"/>
      <c r="L162" s="50" t="n"/>
      <c r="M162" s="50" t="n"/>
      <c r="N162" s="51" t="n"/>
      <c r="O162" s="54" t="n"/>
      <c r="P162" s="50" t="n"/>
      <c r="Q162" s="51" t="n"/>
      <c r="R162" s="52" t="n"/>
      <c r="S162" s="15" t="n"/>
      <c r="T162" s="25" t="n"/>
      <c r="U162" s="25" t="n"/>
      <c r="V162" s="26" t="n"/>
    </row>
    <row r="163" ht="15.75" customHeight="1" s="94">
      <c r="A163" s="49" t="n"/>
      <c r="B163" s="11" t="n"/>
      <c r="J163" s="15" t="n"/>
      <c r="K163" s="13" t="n"/>
      <c r="L163" s="50" t="n"/>
      <c r="M163" s="50" t="n"/>
      <c r="N163" s="51" t="n"/>
      <c r="O163" s="54" t="n"/>
      <c r="P163" s="50" t="n"/>
      <c r="Q163" s="51" t="n"/>
      <c r="R163" s="52" t="n"/>
      <c r="S163" s="15" t="n"/>
      <c r="T163" s="25" t="n"/>
      <c r="U163" s="25" t="n"/>
      <c r="V163" s="26" t="n"/>
    </row>
    <row r="164" ht="15.75" customHeight="1" s="94">
      <c r="A164" s="49" t="n"/>
      <c r="B164" s="11" t="n"/>
      <c r="J164" s="15" t="n"/>
      <c r="K164" s="13" t="n"/>
      <c r="L164" s="50" t="n"/>
      <c r="M164" s="50" t="n"/>
      <c r="N164" s="51" t="n"/>
      <c r="O164" s="54" t="n"/>
      <c r="P164" s="50" t="n"/>
      <c r="Q164" s="51" t="n"/>
      <c r="R164" s="52" t="n"/>
      <c r="S164" s="15" t="n"/>
      <c r="T164" s="25" t="n"/>
      <c r="U164" s="25" t="n"/>
      <c r="V164" s="26" t="n"/>
    </row>
    <row r="165" ht="15.75" customHeight="1" s="94">
      <c r="A165" s="49" t="n"/>
      <c r="B165" s="11" t="n"/>
      <c r="J165" s="15" t="n"/>
      <c r="K165" s="13" t="n"/>
      <c r="L165" s="50" t="n"/>
      <c r="M165" s="50" t="n"/>
      <c r="N165" s="51" t="n"/>
      <c r="O165" s="54" t="n"/>
      <c r="P165" s="50" t="n"/>
      <c r="Q165" s="51" t="n"/>
      <c r="R165" s="52" t="n"/>
      <c r="S165" s="15" t="n"/>
      <c r="T165" s="25" t="n"/>
      <c r="U165" s="25" t="n"/>
      <c r="V165" s="26" t="n"/>
    </row>
    <row r="166" ht="15.75" customHeight="1" s="94">
      <c r="A166" s="49" t="n"/>
      <c r="B166" s="11" t="n"/>
      <c r="J166" s="15" t="n"/>
      <c r="K166" s="13" t="n"/>
      <c r="L166" s="50" t="n"/>
      <c r="M166" s="50" t="n"/>
      <c r="N166" s="51" t="n"/>
      <c r="O166" s="54" t="n"/>
      <c r="P166" s="50" t="n"/>
      <c r="Q166" s="51" t="n"/>
      <c r="R166" s="52" t="n"/>
      <c r="S166" s="15" t="n"/>
      <c r="T166" s="25" t="n"/>
      <c r="U166" s="25" t="n"/>
      <c r="V166" s="26" t="n"/>
    </row>
    <row r="167" ht="15.75" customHeight="1" s="94">
      <c r="A167" s="49" t="n"/>
      <c r="B167" s="11" t="n"/>
      <c r="J167" s="15" t="n"/>
      <c r="K167" s="13" t="n"/>
      <c r="L167" s="50" t="n"/>
      <c r="M167" s="50" t="n"/>
      <c r="N167" s="51" t="n"/>
      <c r="O167" s="54" t="n"/>
      <c r="P167" s="50" t="n"/>
      <c r="Q167" s="51" t="n"/>
      <c r="R167" s="52" t="n"/>
      <c r="S167" s="15" t="n"/>
      <c r="T167" s="25" t="n"/>
      <c r="U167" s="25" t="n"/>
      <c r="V167" s="26" t="n"/>
    </row>
    <row r="168" ht="15.75" customHeight="1" s="94">
      <c r="A168" s="49" t="n"/>
      <c r="B168" s="11" t="n"/>
      <c r="J168" s="15" t="n"/>
      <c r="K168" s="13" t="n"/>
      <c r="L168" s="50" t="n"/>
      <c r="M168" s="50" t="n"/>
      <c r="N168" s="51" t="n"/>
      <c r="O168" s="54" t="n"/>
      <c r="P168" s="50" t="n"/>
      <c r="Q168" s="51" t="n"/>
      <c r="R168" s="52" t="n"/>
      <c r="S168" s="15" t="n"/>
      <c r="T168" s="25" t="n"/>
      <c r="U168" s="25" t="n"/>
      <c r="V168" s="26" t="n"/>
    </row>
    <row r="169" ht="15.75" customHeight="1" s="94">
      <c r="A169" s="49" t="n"/>
      <c r="B169" s="11" t="n"/>
      <c r="J169" s="15" t="n"/>
      <c r="K169" s="13" t="n"/>
      <c r="L169" s="50" t="n"/>
      <c r="M169" s="50" t="n"/>
      <c r="N169" s="51" t="n"/>
      <c r="O169" s="54" t="n"/>
      <c r="P169" s="50" t="n"/>
      <c r="Q169" s="51" t="n"/>
      <c r="R169" s="52" t="n"/>
      <c r="S169" s="15" t="n"/>
      <c r="T169" s="25" t="n"/>
      <c r="U169" s="25" t="n"/>
      <c r="V169" s="26" t="n"/>
    </row>
    <row r="170" ht="15.75" customHeight="1" s="94">
      <c r="A170" s="49" t="n"/>
      <c r="B170" s="11" t="n"/>
      <c r="J170" s="15" t="n"/>
      <c r="K170" s="13" t="n"/>
      <c r="L170" s="50" t="n"/>
      <c r="M170" s="50" t="n"/>
      <c r="N170" s="51" t="n"/>
      <c r="O170" s="54" t="n"/>
      <c r="P170" s="50" t="n"/>
      <c r="Q170" s="51" t="n"/>
      <c r="R170" s="52" t="n"/>
      <c r="S170" s="15" t="n"/>
      <c r="T170" s="25" t="n"/>
      <c r="U170" s="25" t="n"/>
      <c r="V170" s="26" t="n"/>
    </row>
    <row r="171" ht="15.75" customHeight="1" s="94">
      <c r="A171" s="49" t="n"/>
      <c r="B171" s="11" t="n"/>
      <c r="J171" s="15" t="n"/>
      <c r="K171" s="13" t="n"/>
      <c r="L171" s="50" t="n"/>
      <c r="M171" s="50" t="n"/>
      <c r="N171" s="51" t="n"/>
      <c r="O171" s="54" t="n"/>
      <c r="P171" s="50" t="n"/>
      <c r="Q171" s="51" t="n"/>
      <c r="R171" s="52" t="n"/>
      <c r="S171" s="15" t="n"/>
      <c r="T171" s="25" t="n"/>
      <c r="U171" s="25" t="n"/>
      <c r="V171" s="26" t="n"/>
    </row>
    <row r="172" ht="15.75" customHeight="1" s="94">
      <c r="A172" s="49" t="n"/>
      <c r="B172" s="11" t="n"/>
      <c r="J172" s="15" t="n"/>
      <c r="K172" s="13" t="n"/>
      <c r="L172" s="50" t="n"/>
      <c r="M172" s="50" t="n"/>
      <c r="N172" s="51" t="n"/>
      <c r="O172" s="54" t="n"/>
      <c r="P172" s="50" t="n"/>
      <c r="Q172" s="51" t="n"/>
      <c r="R172" s="52" t="n"/>
      <c r="S172" s="15" t="n"/>
      <c r="T172" s="25" t="n"/>
      <c r="U172" s="25" t="n"/>
      <c r="V172" s="26" t="n"/>
    </row>
    <row r="173" ht="15.75" customHeight="1" s="94">
      <c r="A173" s="49" t="n"/>
      <c r="B173" s="11" t="n"/>
      <c r="J173" s="15" t="n"/>
      <c r="K173" s="13" t="n"/>
      <c r="L173" s="50" t="n"/>
      <c r="M173" s="50" t="n"/>
      <c r="N173" s="51" t="n"/>
      <c r="O173" s="54" t="n"/>
      <c r="P173" s="50" t="n"/>
      <c r="Q173" s="51" t="n"/>
      <c r="R173" s="52" t="n"/>
      <c r="S173" s="15" t="n"/>
      <c r="T173" s="25" t="n"/>
      <c r="U173" s="25" t="n"/>
      <c r="V173" s="26" t="n"/>
    </row>
    <row r="174" ht="15.75" customHeight="1" s="94">
      <c r="A174" s="49" t="n"/>
      <c r="B174" s="11" t="n"/>
      <c r="J174" s="15" t="n"/>
      <c r="K174" s="13" t="n"/>
      <c r="L174" s="50" t="n"/>
      <c r="M174" s="50" t="n"/>
      <c r="N174" s="51" t="n"/>
      <c r="O174" s="54" t="n"/>
      <c r="P174" s="50" t="n"/>
      <c r="Q174" s="51" t="n"/>
      <c r="R174" s="52" t="n"/>
      <c r="S174" s="15" t="n"/>
      <c r="T174" s="25" t="n"/>
      <c r="U174" s="25" t="n"/>
      <c r="V174" s="26" t="n"/>
    </row>
    <row r="175" ht="15.75" customHeight="1" s="94">
      <c r="A175" s="49" t="n"/>
      <c r="B175" s="11" t="n"/>
      <c r="J175" s="15" t="n"/>
      <c r="K175" s="13" t="n"/>
      <c r="L175" s="50" t="n"/>
      <c r="M175" s="50" t="n"/>
      <c r="N175" s="51" t="n"/>
      <c r="O175" s="54" t="n"/>
      <c r="P175" s="50" t="n"/>
      <c r="Q175" s="51" t="n"/>
      <c r="R175" s="52" t="n"/>
      <c r="S175" s="15" t="n"/>
      <c r="T175" s="25" t="n"/>
      <c r="U175" s="25" t="n"/>
      <c r="V175" s="26" t="n"/>
    </row>
    <row r="176" ht="15.75" customHeight="1" s="94">
      <c r="A176" s="49" t="n"/>
      <c r="B176" s="11" t="n"/>
      <c r="J176" s="15" t="n"/>
      <c r="K176" s="13" t="n"/>
      <c r="L176" s="50" t="n"/>
      <c r="M176" s="50" t="n"/>
      <c r="N176" s="51" t="n"/>
      <c r="O176" s="54" t="n"/>
      <c r="P176" s="50" t="n"/>
      <c r="Q176" s="51" t="n"/>
      <c r="R176" s="52" t="n"/>
      <c r="S176" s="15" t="n"/>
      <c r="T176" s="25" t="n"/>
      <c r="U176" s="25" t="n"/>
      <c r="V176" s="26" t="n"/>
    </row>
    <row r="177" ht="15.75" customHeight="1" s="94">
      <c r="A177" s="49" t="n"/>
      <c r="B177" s="11" t="n"/>
      <c r="J177" s="15" t="n"/>
      <c r="K177" s="13" t="n"/>
      <c r="L177" s="50" t="n"/>
      <c r="M177" s="50" t="n"/>
      <c r="N177" s="51" t="n"/>
      <c r="O177" s="54" t="n"/>
      <c r="P177" s="50" t="n"/>
      <c r="Q177" s="51" t="n"/>
      <c r="R177" s="52" t="n"/>
      <c r="S177" s="15" t="n"/>
      <c r="T177" s="25" t="n"/>
      <c r="U177" s="25" t="n"/>
      <c r="V177" s="26" t="n"/>
    </row>
    <row r="178" ht="15.75" customHeight="1" s="94">
      <c r="A178" s="49" t="n"/>
      <c r="B178" s="11" t="n"/>
      <c r="J178" s="15" t="n"/>
      <c r="K178" s="13" t="n"/>
      <c r="L178" s="50" t="n"/>
      <c r="M178" s="50" t="n"/>
      <c r="N178" s="51" t="n"/>
      <c r="O178" s="54" t="n"/>
      <c r="P178" s="50" t="n"/>
      <c r="Q178" s="51" t="n"/>
      <c r="R178" s="52" t="n"/>
      <c r="S178" s="15" t="n"/>
      <c r="T178" s="25" t="n"/>
      <c r="U178" s="25" t="n"/>
      <c r="V178" s="26" t="n"/>
    </row>
    <row r="179" ht="15.75" customHeight="1" s="94">
      <c r="A179" s="49" t="n"/>
      <c r="B179" s="11" t="n"/>
      <c r="J179" s="15" t="n"/>
      <c r="K179" s="13" t="n"/>
      <c r="L179" s="50" t="n"/>
      <c r="M179" s="50" t="n"/>
      <c r="N179" s="51" t="n"/>
      <c r="O179" s="54" t="n"/>
      <c r="P179" s="50" t="n"/>
      <c r="Q179" s="51" t="n"/>
      <c r="R179" s="52" t="n"/>
      <c r="S179" s="15" t="n"/>
      <c r="T179" s="25" t="n"/>
      <c r="U179" s="25" t="n"/>
      <c r="V179" s="26" t="n"/>
    </row>
    <row r="180" ht="15.75" customHeight="1" s="94">
      <c r="A180" s="49" t="n"/>
      <c r="B180" s="11" t="n"/>
      <c r="J180" s="15" t="n"/>
      <c r="K180" s="13" t="n"/>
      <c r="L180" s="50" t="n"/>
      <c r="M180" s="50" t="n"/>
      <c r="N180" s="51" t="n"/>
      <c r="O180" s="54" t="n"/>
      <c r="P180" s="50" t="n"/>
      <c r="Q180" s="51" t="n"/>
      <c r="R180" s="52" t="n"/>
      <c r="S180" s="15" t="n"/>
      <c r="T180" s="25" t="n"/>
      <c r="U180" s="25" t="n"/>
      <c r="V180" s="26" t="n"/>
    </row>
    <row r="181" ht="15.75" customHeight="1" s="94">
      <c r="A181" s="49" t="n"/>
      <c r="B181" s="11" t="n"/>
      <c r="J181" s="15" t="n"/>
      <c r="K181" s="13" t="n"/>
      <c r="L181" s="50" t="n"/>
      <c r="M181" s="50" t="n"/>
      <c r="N181" s="51" t="n"/>
      <c r="O181" s="54" t="n"/>
      <c r="P181" s="50" t="n"/>
      <c r="Q181" s="51" t="n"/>
      <c r="R181" s="52" t="n"/>
      <c r="S181" s="15" t="n"/>
      <c r="T181" s="25" t="n"/>
      <c r="U181" s="25" t="n"/>
      <c r="V181" s="26" t="n"/>
    </row>
    <row r="182" ht="15.75" customHeight="1" s="94">
      <c r="A182" s="49" t="n"/>
      <c r="B182" s="11" t="n"/>
      <c r="J182" s="15" t="n"/>
      <c r="K182" s="13" t="n"/>
      <c r="L182" s="50" t="n"/>
      <c r="M182" s="50" t="n"/>
      <c r="N182" s="51" t="n"/>
      <c r="O182" s="54" t="n"/>
      <c r="P182" s="50" t="n"/>
      <c r="Q182" s="51" t="n"/>
      <c r="R182" s="52" t="n"/>
      <c r="S182" s="15" t="n"/>
      <c r="T182" s="25" t="n"/>
      <c r="U182" s="25" t="n"/>
      <c r="V182" s="26" t="n"/>
    </row>
    <row r="183" ht="15.75" customHeight="1" s="94">
      <c r="A183" s="49" t="n"/>
      <c r="B183" s="11" t="n"/>
      <c r="J183" s="15" t="n"/>
      <c r="K183" s="13" t="n"/>
      <c r="L183" s="50" t="n"/>
      <c r="M183" s="50" t="n"/>
      <c r="N183" s="51" t="n"/>
      <c r="O183" s="54" t="n"/>
      <c r="P183" s="50" t="n"/>
      <c r="Q183" s="51" t="n"/>
      <c r="R183" s="52" t="n"/>
      <c r="S183" s="15" t="n"/>
      <c r="T183" s="25" t="n"/>
      <c r="U183" s="25" t="n"/>
      <c r="V183" s="26" t="n"/>
    </row>
    <row r="184" ht="15.75" customHeight="1" s="94">
      <c r="A184" s="49" t="n"/>
      <c r="B184" s="11" t="n"/>
      <c r="J184" s="15" t="n"/>
      <c r="K184" s="13" t="n"/>
      <c r="L184" s="50" t="n"/>
      <c r="M184" s="50" t="n"/>
      <c r="N184" s="51" t="n"/>
      <c r="O184" s="54" t="n"/>
      <c r="P184" s="50" t="n"/>
      <c r="Q184" s="51" t="n"/>
      <c r="R184" s="52" t="n"/>
      <c r="S184" s="15" t="n"/>
      <c r="T184" s="25" t="n"/>
      <c r="U184" s="25" t="n"/>
      <c r="V184" s="26" t="n"/>
    </row>
    <row r="185" ht="15.75" customHeight="1" s="94">
      <c r="A185" s="49" t="n"/>
      <c r="B185" s="11" t="n"/>
      <c r="J185" s="15" t="n"/>
      <c r="K185" s="13" t="n"/>
      <c r="L185" s="50" t="n"/>
      <c r="M185" s="50" t="n"/>
      <c r="N185" s="51" t="n"/>
      <c r="O185" s="54" t="n"/>
      <c r="P185" s="50" t="n"/>
      <c r="Q185" s="51" t="n"/>
      <c r="R185" s="52" t="n"/>
      <c r="S185" s="15" t="n"/>
      <c r="T185" s="25" t="n"/>
      <c r="U185" s="25" t="n"/>
      <c r="V185" s="26" t="n"/>
    </row>
    <row r="186" ht="15.75" customHeight="1" s="94">
      <c r="A186" s="49" t="n"/>
      <c r="B186" s="11" t="n"/>
      <c r="J186" s="15" t="n"/>
      <c r="K186" s="13" t="n"/>
      <c r="L186" s="50" t="n"/>
      <c r="M186" s="50" t="n"/>
      <c r="N186" s="51" t="n"/>
      <c r="O186" s="54" t="n"/>
      <c r="P186" s="50" t="n"/>
      <c r="Q186" s="51" t="n"/>
      <c r="R186" s="52" t="n"/>
      <c r="S186" s="15" t="n"/>
      <c r="T186" s="25" t="n"/>
      <c r="U186" s="25" t="n"/>
      <c r="V186" s="26" t="n"/>
    </row>
    <row r="187" ht="15.75" customHeight="1" s="94">
      <c r="A187" s="49" t="n"/>
      <c r="B187" s="11" t="n"/>
      <c r="J187" s="15" t="n"/>
      <c r="K187" s="13" t="n"/>
      <c r="L187" s="50" t="n"/>
      <c r="M187" s="50" t="n"/>
      <c r="N187" s="51" t="n"/>
      <c r="O187" s="54" t="n"/>
      <c r="P187" s="50" t="n"/>
      <c r="Q187" s="51" t="n"/>
      <c r="R187" s="52" t="n"/>
      <c r="S187" s="15" t="n"/>
      <c r="T187" s="25" t="n"/>
      <c r="U187" s="25" t="n"/>
      <c r="V187" s="26" t="n"/>
    </row>
    <row r="188" ht="15.75" customHeight="1" s="94">
      <c r="A188" s="49" t="n"/>
      <c r="B188" s="11" t="n"/>
      <c r="J188" s="15" t="n"/>
      <c r="K188" s="13" t="n"/>
      <c r="L188" s="50" t="n"/>
      <c r="M188" s="50" t="n"/>
      <c r="N188" s="51" t="n"/>
      <c r="O188" s="54" t="n"/>
      <c r="P188" s="50" t="n"/>
      <c r="Q188" s="51" t="n"/>
      <c r="R188" s="52" t="n"/>
      <c r="S188" s="15" t="n"/>
      <c r="T188" s="25" t="n"/>
      <c r="U188" s="25" t="n"/>
      <c r="V188" s="26" t="n"/>
    </row>
    <row r="189" ht="15.75" customHeight="1" s="94">
      <c r="A189" s="49" t="n"/>
      <c r="B189" s="11" t="n"/>
      <c r="J189" s="15" t="n"/>
      <c r="K189" s="13" t="n"/>
      <c r="L189" s="50" t="n"/>
      <c r="M189" s="50" t="n"/>
      <c r="N189" s="51" t="n"/>
      <c r="O189" s="54" t="n"/>
      <c r="P189" s="50" t="n"/>
      <c r="Q189" s="51" t="n"/>
      <c r="R189" s="52" t="n"/>
      <c r="S189" s="15" t="n"/>
      <c r="T189" s="25" t="n"/>
      <c r="U189" s="25" t="n"/>
      <c r="V189" s="26" t="n"/>
    </row>
    <row r="190" ht="15.75" customHeight="1" s="94">
      <c r="A190" s="49" t="n"/>
      <c r="B190" s="11" t="n"/>
      <c r="J190" s="15" t="n"/>
      <c r="K190" s="13" t="n"/>
      <c r="L190" s="50" t="n"/>
      <c r="M190" s="50" t="n"/>
      <c r="N190" s="51" t="n"/>
      <c r="O190" s="54" t="n"/>
      <c r="P190" s="50" t="n"/>
      <c r="Q190" s="51" t="n"/>
      <c r="R190" s="52" t="n"/>
      <c r="S190" s="15" t="n"/>
      <c r="T190" s="25" t="n"/>
      <c r="U190" s="25" t="n"/>
      <c r="V190" s="26" t="n"/>
    </row>
    <row r="191" ht="15.75" customHeight="1" s="94">
      <c r="A191" s="49" t="n"/>
      <c r="B191" s="11" t="n"/>
      <c r="J191" s="15" t="n"/>
      <c r="K191" s="13" t="n"/>
      <c r="L191" s="50" t="n"/>
      <c r="M191" s="50" t="n"/>
      <c r="N191" s="51" t="n"/>
      <c r="O191" s="54" t="n"/>
      <c r="P191" s="50" t="n"/>
      <c r="Q191" s="51" t="n"/>
      <c r="R191" s="52" t="n"/>
      <c r="S191" s="15" t="n"/>
      <c r="T191" s="25" t="n"/>
      <c r="U191" s="25" t="n"/>
      <c r="V191" s="26" t="n"/>
    </row>
    <row r="192" ht="15.75" customHeight="1" s="94">
      <c r="A192" s="49" t="n"/>
      <c r="B192" s="11" t="n"/>
      <c r="J192" s="15" t="n"/>
      <c r="K192" s="13" t="n"/>
      <c r="L192" s="50" t="n"/>
      <c r="M192" s="50" t="n"/>
      <c r="N192" s="51" t="n"/>
      <c r="O192" s="54" t="n"/>
      <c r="P192" s="50" t="n"/>
      <c r="Q192" s="51" t="n"/>
      <c r="R192" s="52" t="n"/>
      <c r="S192" s="15" t="n"/>
      <c r="T192" s="25" t="n"/>
      <c r="U192" s="25" t="n"/>
      <c r="V192" s="26" t="n"/>
    </row>
    <row r="193" ht="15.75" customHeight="1" s="94">
      <c r="A193" s="49" t="n"/>
      <c r="B193" s="11" t="n"/>
      <c r="J193" s="15" t="n"/>
      <c r="K193" s="13" t="n"/>
      <c r="L193" s="50" t="n"/>
      <c r="M193" s="50" t="n"/>
      <c r="N193" s="51" t="n"/>
      <c r="O193" s="54" t="n"/>
      <c r="P193" s="50" t="n"/>
      <c r="Q193" s="51" t="n"/>
      <c r="R193" s="52" t="n"/>
      <c r="S193" s="15" t="n"/>
      <c r="T193" s="25" t="n"/>
      <c r="U193" s="25" t="n"/>
      <c r="V193" s="26" t="n"/>
    </row>
    <row r="194" ht="15.75" customHeight="1" s="94">
      <c r="A194" s="49" t="n"/>
      <c r="B194" s="11" t="n"/>
      <c r="J194" s="15" t="n"/>
      <c r="K194" s="13" t="n"/>
      <c r="L194" s="50" t="n"/>
      <c r="M194" s="50" t="n"/>
      <c r="N194" s="51" t="n"/>
      <c r="O194" s="54" t="n"/>
      <c r="P194" s="50" t="n"/>
      <c r="Q194" s="51" t="n"/>
      <c r="R194" s="52" t="n"/>
      <c r="S194" s="15" t="n"/>
      <c r="T194" s="25" t="n"/>
      <c r="U194" s="25" t="n"/>
      <c r="V194" s="26" t="n"/>
    </row>
    <row r="195" ht="15.75" customHeight="1" s="94">
      <c r="A195" s="49" t="n"/>
      <c r="B195" s="11" t="n"/>
      <c r="J195" s="15" t="n"/>
      <c r="K195" s="13" t="n"/>
      <c r="L195" s="50" t="n"/>
      <c r="M195" s="50" t="n"/>
      <c r="N195" s="51" t="n"/>
      <c r="O195" s="54" t="n"/>
      <c r="P195" s="50" t="n"/>
      <c r="Q195" s="51" t="n"/>
      <c r="R195" s="52" t="n"/>
      <c r="S195" s="15" t="n"/>
      <c r="T195" s="25" t="n"/>
      <c r="U195" s="25" t="n"/>
      <c r="V195" s="26" t="n"/>
    </row>
    <row r="196" ht="15.75" customHeight="1" s="94">
      <c r="A196" s="49" t="n"/>
      <c r="B196" s="11" t="n"/>
      <c r="J196" s="15" t="n"/>
      <c r="K196" s="13" t="n"/>
      <c r="L196" s="50" t="n"/>
      <c r="M196" s="50" t="n"/>
      <c r="N196" s="51" t="n"/>
      <c r="O196" s="54" t="n"/>
      <c r="P196" s="50" t="n"/>
      <c r="Q196" s="51" t="n"/>
      <c r="R196" s="52" t="n"/>
      <c r="S196" s="15" t="n"/>
      <c r="T196" s="25" t="n"/>
      <c r="U196" s="25" t="n"/>
      <c r="V196" s="26" t="n"/>
    </row>
    <row r="197" ht="15.75" customHeight="1" s="94">
      <c r="A197" s="49" t="n"/>
      <c r="B197" s="11" t="n"/>
      <c r="J197" s="15" t="n"/>
      <c r="K197" s="13" t="n"/>
      <c r="L197" s="50" t="n"/>
      <c r="M197" s="50" t="n"/>
      <c r="N197" s="51" t="n"/>
      <c r="O197" s="54" t="n"/>
      <c r="P197" s="50" t="n"/>
      <c r="Q197" s="51" t="n"/>
      <c r="R197" s="52" t="n"/>
      <c r="S197" s="15" t="n"/>
      <c r="T197" s="25" t="n"/>
      <c r="U197" s="25" t="n"/>
      <c r="V197" s="26" t="n"/>
    </row>
    <row r="198" ht="15.75" customHeight="1" s="94">
      <c r="A198" s="49" t="n"/>
      <c r="B198" s="11" t="n"/>
      <c r="J198" s="15" t="n"/>
      <c r="K198" s="13" t="n"/>
      <c r="L198" s="50" t="n"/>
      <c r="M198" s="50" t="n"/>
      <c r="N198" s="51" t="n"/>
      <c r="O198" s="54" t="n"/>
      <c r="P198" s="50" t="n"/>
      <c r="Q198" s="51" t="n"/>
      <c r="R198" s="52" t="n"/>
      <c r="S198" s="15" t="n"/>
      <c r="T198" s="25" t="n"/>
      <c r="U198" s="25" t="n"/>
      <c r="V198" s="26" t="n"/>
    </row>
    <row r="199" ht="15.75" customHeight="1" s="94">
      <c r="A199" s="49" t="n"/>
      <c r="B199" s="11" t="n"/>
      <c r="J199" s="15" t="n"/>
      <c r="K199" s="13" t="n"/>
      <c r="L199" s="50" t="n"/>
      <c r="M199" s="50" t="n"/>
      <c r="N199" s="51" t="n"/>
      <c r="O199" s="54" t="n"/>
      <c r="P199" s="50" t="n"/>
      <c r="Q199" s="51" t="n"/>
      <c r="R199" s="52" t="n"/>
      <c r="S199" s="15" t="n"/>
      <c r="T199" s="25" t="n"/>
      <c r="U199" s="25" t="n"/>
      <c r="V199" s="26" t="n"/>
    </row>
    <row r="200" ht="15.75" customHeight="1" s="94">
      <c r="A200" s="49" t="n"/>
      <c r="B200" s="11" t="n"/>
      <c r="J200" s="15" t="n"/>
      <c r="K200" s="13" t="n"/>
      <c r="L200" s="50" t="n"/>
      <c r="M200" s="50" t="n"/>
      <c r="N200" s="51" t="n"/>
      <c r="O200" s="54" t="n"/>
      <c r="P200" s="50" t="n"/>
      <c r="Q200" s="51" t="n"/>
      <c r="R200" s="52" t="n"/>
      <c r="S200" s="15" t="n"/>
      <c r="T200" s="25" t="n"/>
      <c r="U200" s="25" t="n"/>
      <c r="V200" s="26" t="n"/>
    </row>
    <row r="201" ht="15.75" customHeight="1" s="94">
      <c r="A201" s="49" t="n"/>
      <c r="B201" s="11" t="n"/>
      <c r="J201" s="15" t="n"/>
      <c r="K201" s="13" t="n"/>
      <c r="L201" s="50" t="n"/>
      <c r="M201" s="50" t="n"/>
      <c r="N201" s="51" t="n"/>
      <c r="O201" s="54" t="n"/>
      <c r="P201" s="50" t="n"/>
      <c r="Q201" s="51" t="n"/>
      <c r="R201" s="52" t="n"/>
      <c r="S201" s="15" t="n"/>
      <c r="T201" s="25" t="n"/>
      <c r="U201" s="25" t="n"/>
      <c r="V201" s="26" t="n"/>
    </row>
    <row r="202" ht="15.75" customHeight="1" s="94">
      <c r="A202" s="49" t="n"/>
      <c r="B202" s="11" t="n"/>
      <c r="J202" s="15" t="n"/>
      <c r="K202" s="13" t="n"/>
      <c r="L202" s="50" t="n"/>
      <c r="M202" s="50" t="n"/>
      <c r="N202" s="51" t="n"/>
      <c r="O202" s="54" t="n"/>
      <c r="P202" s="50" t="n"/>
      <c r="Q202" s="51" t="n"/>
      <c r="R202" s="52" t="n"/>
      <c r="S202" s="15" t="n"/>
      <c r="T202" s="25" t="n"/>
      <c r="U202" s="25" t="n"/>
      <c r="V202" s="26" t="n"/>
    </row>
    <row r="203" ht="15.75" customHeight="1" s="94">
      <c r="A203" s="49" t="n"/>
      <c r="B203" s="11" t="n"/>
      <c r="J203" s="15" t="n"/>
      <c r="K203" s="13" t="n"/>
      <c r="L203" s="50" t="n"/>
      <c r="M203" s="50" t="n"/>
      <c r="N203" s="51" t="n"/>
      <c r="O203" s="54" t="n"/>
      <c r="P203" s="50" t="n"/>
      <c r="Q203" s="51" t="n"/>
      <c r="R203" s="52" t="n"/>
      <c r="S203" s="15" t="n"/>
      <c r="T203" s="25" t="n"/>
      <c r="U203" s="25" t="n"/>
      <c r="V203" s="26" t="n"/>
    </row>
    <row r="204" ht="15.75" customHeight="1" s="94">
      <c r="A204" s="49" t="n"/>
      <c r="B204" s="11" t="n"/>
      <c r="J204" s="15" t="n"/>
      <c r="K204" s="13" t="n"/>
      <c r="L204" s="50" t="n"/>
      <c r="M204" s="50" t="n"/>
      <c r="N204" s="51" t="n"/>
      <c r="O204" s="54" t="n"/>
      <c r="P204" s="50" t="n"/>
      <c r="Q204" s="51" t="n"/>
      <c r="R204" s="52" t="n"/>
      <c r="S204" s="15" t="n"/>
      <c r="T204" s="25" t="n"/>
      <c r="U204" s="25" t="n"/>
      <c r="V204" s="26" t="n"/>
    </row>
    <row r="205" ht="15.75" customHeight="1" s="94">
      <c r="A205" s="49" t="n"/>
      <c r="B205" s="11" t="n"/>
      <c r="J205" s="15" t="n"/>
      <c r="K205" s="13" t="n"/>
      <c r="L205" s="50" t="n"/>
      <c r="M205" s="50" t="n"/>
      <c r="N205" s="51" t="n"/>
      <c r="O205" s="54" t="n"/>
      <c r="P205" s="50" t="n"/>
      <c r="Q205" s="51" t="n"/>
      <c r="R205" s="52" t="n"/>
      <c r="S205" s="15" t="n"/>
      <c r="T205" s="25" t="n"/>
      <c r="U205" s="25" t="n"/>
      <c r="V205" s="26" t="n"/>
    </row>
    <row r="206" ht="15.75" customHeight="1" s="94">
      <c r="A206" s="49" t="n"/>
      <c r="B206" s="11" t="n"/>
      <c r="J206" s="15" t="n"/>
      <c r="K206" s="13" t="n"/>
      <c r="L206" s="50" t="n"/>
      <c r="M206" s="50" t="n"/>
      <c r="N206" s="51" t="n"/>
      <c r="O206" s="54" t="n"/>
      <c r="P206" s="50" t="n"/>
      <c r="Q206" s="51" t="n"/>
      <c r="R206" s="52" t="n"/>
      <c r="S206" s="15" t="n"/>
      <c r="T206" s="25" t="n"/>
      <c r="U206" s="25" t="n"/>
      <c r="V206" s="26" t="n"/>
    </row>
    <row r="207" ht="15.75" customHeight="1" s="94">
      <c r="A207" s="49" t="n"/>
      <c r="B207" s="11" t="n"/>
      <c r="J207" s="15" t="n"/>
      <c r="K207" s="13" t="n"/>
      <c r="L207" s="50" t="n"/>
      <c r="M207" s="50" t="n"/>
      <c r="N207" s="51" t="n"/>
      <c r="O207" s="54" t="n"/>
      <c r="P207" s="50" t="n"/>
      <c r="Q207" s="51" t="n"/>
      <c r="R207" s="52" t="n"/>
      <c r="S207" s="15" t="n"/>
      <c r="T207" s="25" t="n"/>
      <c r="U207" s="25" t="n"/>
      <c r="V207" s="26" t="n"/>
    </row>
    <row r="208" ht="15.75" customHeight="1" s="94">
      <c r="A208" s="49" t="n"/>
      <c r="B208" s="11" t="n"/>
      <c r="J208" s="15" t="n"/>
      <c r="K208" s="13" t="n"/>
      <c r="L208" s="50" t="n"/>
      <c r="M208" s="50" t="n"/>
      <c r="N208" s="51" t="n"/>
      <c r="O208" s="54" t="n"/>
      <c r="P208" s="50" t="n"/>
      <c r="Q208" s="51" t="n"/>
      <c r="R208" s="52" t="n"/>
      <c r="S208" s="15" t="n"/>
      <c r="T208" s="25" t="n"/>
      <c r="U208" s="25" t="n"/>
      <c r="V208" s="26" t="n"/>
    </row>
    <row r="209" ht="15.75" customHeight="1" s="94">
      <c r="A209" s="49" t="n"/>
      <c r="B209" s="11" t="n"/>
      <c r="J209" s="15" t="n"/>
      <c r="K209" s="13" t="n"/>
      <c r="L209" s="50" t="n"/>
      <c r="M209" s="50" t="n"/>
      <c r="N209" s="51" t="n"/>
      <c r="O209" s="54" t="n"/>
      <c r="P209" s="50" t="n"/>
      <c r="Q209" s="51" t="n"/>
      <c r="R209" s="52" t="n"/>
      <c r="S209" s="15" t="n"/>
      <c r="T209" s="25" t="n"/>
      <c r="U209" s="25" t="n"/>
      <c r="V209" s="26" t="n"/>
    </row>
    <row r="210" ht="15.75" customHeight="1" s="94">
      <c r="A210" s="49" t="n"/>
      <c r="B210" s="11" t="n"/>
      <c r="J210" s="15" t="n"/>
      <c r="K210" s="13" t="n"/>
      <c r="L210" s="50" t="n"/>
      <c r="M210" s="50" t="n"/>
      <c r="N210" s="51" t="n"/>
      <c r="O210" s="54" t="n"/>
      <c r="P210" s="50" t="n"/>
      <c r="Q210" s="51" t="n"/>
      <c r="R210" s="52" t="n"/>
      <c r="S210" s="15" t="n"/>
      <c r="T210" s="25" t="n"/>
      <c r="U210" s="25" t="n"/>
      <c r="V210" s="26" t="n"/>
    </row>
    <row r="211" ht="15.75" customHeight="1" s="94">
      <c r="A211" s="49" t="n"/>
      <c r="B211" s="11" t="n"/>
      <c r="J211" s="15" t="n"/>
      <c r="K211" s="13" t="n"/>
      <c r="L211" s="50" t="n"/>
      <c r="M211" s="50" t="n"/>
      <c r="N211" s="51" t="n"/>
      <c r="O211" s="54" t="n"/>
      <c r="P211" s="50" t="n"/>
      <c r="Q211" s="51" t="n"/>
      <c r="R211" s="52" t="n"/>
      <c r="S211" s="15" t="n"/>
      <c r="T211" s="25" t="n"/>
      <c r="U211" s="25" t="n"/>
      <c r="V211" s="26" t="n"/>
    </row>
    <row r="212" ht="15.75" customHeight="1" s="94">
      <c r="A212" s="49" t="n"/>
      <c r="B212" s="11" t="n"/>
      <c r="J212" s="15" t="n"/>
      <c r="K212" s="13" t="n"/>
      <c r="L212" s="50" t="n"/>
      <c r="M212" s="50" t="n"/>
      <c r="N212" s="51" t="n"/>
      <c r="O212" s="54" t="n"/>
      <c r="P212" s="50" t="n"/>
      <c r="Q212" s="51" t="n"/>
      <c r="R212" s="52" t="n"/>
      <c r="S212" s="15" t="n"/>
      <c r="T212" s="25" t="n"/>
      <c r="U212" s="25" t="n"/>
      <c r="V212" s="26" t="n"/>
    </row>
    <row r="213" ht="15.75" customHeight="1" s="94">
      <c r="A213" s="49" t="n"/>
      <c r="B213" s="11" t="n"/>
      <c r="J213" s="15" t="n"/>
      <c r="K213" s="13" t="n"/>
      <c r="L213" s="50" t="n"/>
      <c r="M213" s="50" t="n"/>
      <c r="N213" s="51" t="n"/>
      <c r="O213" s="54" t="n"/>
      <c r="P213" s="50" t="n"/>
      <c r="Q213" s="51" t="n"/>
      <c r="R213" s="52" t="n"/>
      <c r="S213" s="15" t="n"/>
      <c r="T213" s="25" t="n"/>
      <c r="U213" s="25" t="n"/>
      <c r="V213" s="26" t="n"/>
    </row>
    <row r="214" ht="15.75" customHeight="1" s="94">
      <c r="A214" s="49" t="n"/>
      <c r="B214" s="11" t="n"/>
      <c r="J214" s="15" t="n"/>
      <c r="K214" s="13" t="n"/>
      <c r="L214" s="50" t="n"/>
      <c r="M214" s="50" t="n"/>
      <c r="N214" s="51" t="n"/>
      <c r="O214" s="54" t="n"/>
      <c r="P214" s="50" t="n"/>
      <c r="Q214" s="51" t="n"/>
      <c r="R214" s="52" t="n"/>
      <c r="S214" s="15" t="n"/>
      <c r="T214" s="25" t="n"/>
      <c r="U214" s="25" t="n"/>
      <c r="V214" s="26" t="n"/>
    </row>
    <row r="215" ht="15.75" customHeight="1" s="94">
      <c r="A215" s="49" t="n"/>
      <c r="B215" s="11" t="n"/>
      <c r="J215" s="15" t="n"/>
      <c r="K215" s="13" t="n"/>
      <c r="L215" s="50" t="n"/>
      <c r="M215" s="50" t="n"/>
      <c r="N215" s="51" t="n"/>
      <c r="O215" s="54" t="n"/>
      <c r="P215" s="50" t="n"/>
      <c r="Q215" s="51" t="n"/>
      <c r="R215" s="52" t="n"/>
      <c r="S215" s="15" t="n"/>
      <c r="T215" s="25" t="n"/>
      <c r="U215" s="25" t="n"/>
      <c r="V215" s="26" t="n"/>
    </row>
    <row r="216" ht="15.75" customHeight="1" s="94">
      <c r="A216" s="49" t="n"/>
      <c r="B216" s="11" t="n"/>
      <c r="J216" s="15" t="n"/>
      <c r="K216" s="13" t="n"/>
      <c r="L216" s="50" t="n"/>
      <c r="M216" s="50" t="n"/>
      <c r="N216" s="51" t="n"/>
      <c r="O216" s="54" t="n"/>
      <c r="P216" s="50" t="n"/>
      <c r="Q216" s="51" t="n"/>
      <c r="R216" s="52" t="n"/>
      <c r="S216" s="15" t="n"/>
      <c r="T216" s="25" t="n"/>
      <c r="U216" s="25" t="n"/>
      <c r="V216" s="26" t="n"/>
    </row>
    <row r="217" ht="15.75" customHeight="1" s="94">
      <c r="A217" s="49" t="n"/>
      <c r="B217" s="11" t="n"/>
      <c r="J217" s="15" t="n"/>
      <c r="K217" s="13" t="n"/>
      <c r="L217" s="50" t="n"/>
      <c r="M217" s="50" t="n"/>
      <c r="N217" s="51" t="n"/>
      <c r="O217" s="54" t="n"/>
      <c r="P217" s="50" t="n"/>
      <c r="Q217" s="51" t="n"/>
      <c r="R217" s="52" t="n"/>
      <c r="S217" s="15" t="n"/>
      <c r="T217" s="25" t="n"/>
      <c r="U217" s="25" t="n"/>
      <c r="V217" s="26" t="n"/>
    </row>
    <row r="218" ht="15.75" customHeight="1" s="94">
      <c r="A218" s="49" t="n"/>
      <c r="B218" s="11" t="n"/>
      <c r="J218" s="15" t="n"/>
      <c r="K218" s="13" t="n"/>
      <c r="L218" s="50" t="n"/>
      <c r="M218" s="50" t="n"/>
      <c r="N218" s="51" t="n"/>
      <c r="O218" s="54" t="n"/>
      <c r="P218" s="50" t="n"/>
      <c r="Q218" s="51" t="n"/>
      <c r="R218" s="52" t="n"/>
      <c r="S218" s="15" t="n"/>
      <c r="T218" s="25" t="n"/>
      <c r="U218" s="25" t="n"/>
      <c r="V218" s="26" t="n"/>
    </row>
    <row r="219" ht="15.75" customHeight="1" s="94">
      <c r="A219" s="49" t="n"/>
      <c r="B219" s="11" t="n"/>
      <c r="J219" s="15" t="n"/>
      <c r="K219" s="13" t="n"/>
      <c r="L219" s="50" t="n"/>
      <c r="M219" s="50" t="n"/>
      <c r="N219" s="51" t="n"/>
      <c r="O219" s="54" t="n"/>
      <c r="P219" s="50" t="n"/>
      <c r="Q219" s="51" t="n"/>
      <c r="R219" s="52" t="n"/>
      <c r="S219" s="15" t="n"/>
      <c r="T219" s="25" t="n"/>
      <c r="U219" s="25" t="n"/>
      <c r="V219" s="26" t="n"/>
    </row>
    <row r="220" ht="15.75" customHeight="1" s="94">
      <c r="A220" s="49" t="n"/>
      <c r="B220" s="11" t="n"/>
      <c r="J220" s="15" t="n"/>
      <c r="K220" s="13" t="n"/>
      <c r="L220" s="50" t="n"/>
      <c r="M220" s="50" t="n"/>
      <c r="N220" s="51" t="n"/>
      <c r="O220" s="54" t="n"/>
      <c r="P220" s="50" t="n"/>
      <c r="Q220" s="51" t="n"/>
      <c r="R220" s="52" t="n"/>
      <c r="S220" s="15" t="n"/>
      <c r="T220" s="25" t="n"/>
      <c r="U220" s="25" t="n"/>
      <c r="V220" s="26" t="n"/>
    </row>
    <row r="221" ht="15.75" customHeight="1" s="94">
      <c r="A221" s="49" t="n"/>
      <c r="B221" s="11" t="n"/>
      <c r="J221" s="15" t="n"/>
      <c r="K221" s="13" t="n"/>
      <c r="L221" s="50" t="n"/>
      <c r="M221" s="50" t="n"/>
      <c r="N221" s="51" t="n"/>
      <c r="O221" s="54" t="n"/>
      <c r="P221" s="50" t="n"/>
      <c r="Q221" s="51" t="n"/>
      <c r="R221" s="52" t="n"/>
      <c r="S221" s="15" t="n"/>
      <c r="T221" s="25" t="n"/>
      <c r="U221" s="25" t="n"/>
      <c r="V221" s="26" t="n"/>
    </row>
    <row r="222" ht="15.75" customHeight="1" s="94">
      <c r="A222" s="49" t="n"/>
      <c r="B222" s="11" t="n"/>
      <c r="J222" s="15" t="n"/>
      <c r="K222" s="13" t="n"/>
      <c r="L222" s="50" t="n"/>
      <c r="M222" s="50" t="n"/>
      <c r="N222" s="51" t="n"/>
      <c r="O222" s="54" t="n"/>
      <c r="P222" s="50" t="n"/>
      <c r="Q222" s="51" t="n"/>
      <c r="R222" s="52" t="n"/>
      <c r="S222" s="15" t="n"/>
      <c r="T222" s="25" t="n"/>
      <c r="U222" s="25" t="n"/>
      <c r="V222" s="26" t="n"/>
    </row>
    <row r="223" ht="15.75" customHeight="1" s="94">
      <c r="A223" s="49" t="n"/>
      <c r="B223" s="11" t="n"/>
      <c r="J223" s="15" t="n"/>
      <c r="K223" s="13" t="n"/>
      <c r="L223" s="50" t="n"/>
      <c r="M223" s="50" t="n"/>
      <c r="N223" s="51" t="n"/>
      <c r="O223" s="54" t="n"/>
      <c r="P223" s="50" t="n"/>
      <c r="Q223" s="51" t="n"/>
      <c r="R223" s="52" t="n"/>
      <c r="S223" s="15" t="n"/>
      <c r="T223" s="25" t="n"/>
      <c r="U223" s="25" t="n"/>
      <c r="V223" s="26" t="n"/>
    </row>
    <row r="224" ht="15.75" customHeight="1" s="94">
      <c r="A224" s="49" t="n"/>
      <c r="B224" s="11" t="n"/>
      <c r="J224" s="15" t="n"/>
      <c r="K224" s="13" t="n"/>
      <c r="L224" s="50" t="n"/>
      <c r="M224" s="50" t="n"/>
      <c r="N224" s="51" t="n"/>
      <c r="O224" s="54" t="n"/>
      <c r="P224" s="50" t="n"/>
      <c r="Q224" s="51" t="n"/>
      <c r="R224" s="52" t="n"/>
      <c r="S224" s="15" t="n"/>
      <c r="T224" s="25" t="n"/>
      <c r="U224" s="25" t="n"/>
      <c r="V224" s="26" t="n"/>
    </row>
    <row r="225" ht="15.75" customHeight="1" s="94">
      <c r="A225" s="49" t="n"/>
      <c r="B225" s="11" t="n"/>
      <c r="J225" s="15" t="n"/>
      <c r="K225" s="13" t="n"/>
      <c r="L225" s="50" t="n"/>
      <c r="M225" s="50" t="n"/>
      <c r="N225" s="51" t="n"/>
      <c r="O225" s="54" t="n"/>
      <c r="P225" s="50" t="n"/>
      <c r="Q225" s="51" t="n"/>
      <c r="R225" s="52" t="n"/>
      <c r="S225" s="15" t="n"/>
      <c r="T225" s="25" t="n"/>
      <c r="U225" s="25" t="n"/>
      <c r="V225" s="26" t="n"/>
    </row>
    <row r="226" ht="15.75" customHeight="1" s="94">
      <c r="A226" s="49" t="n"/>
      <c r="B226" s="11" t="n"/>
      <c r="J226" s="15" t="n"/>
      <c r="K226" s="13" t="n"/>
      <c r="L226" s="50" t="n"/>
      <c r="M226" s="50" t="n"/>
      <c r="N226" s="51" t="n"/>
      <c r="O226" s="54" t="n"/>
      <c r="P226" s="50" t="n"/>
      <c r="Q226" s="51" t="n"/>
      <c r="R226" s="52" t="n"/>
      <c r="S226" s="15" t="n"/>
      <c r="T226" s="25" t="n"/>
      <c r="U226" s="25" t="n"/>
      <c r="V226" s="26" t="n"/>
    </row>
    <row r="227" ht="15.75" customHeight="1" s="94">
      <c r="A227" s="49" t="n"/>
      <c r="B227" s="11" t="n"/>
      <c r="J227" s="15" t="n"/>
      <c r="K227" s="13" t="n"/>
      <c r="L227" s="50" t="n"/>
      <c r="M227" s="50" t="n"/>
      <c r="N227" s="51" t="n"/>
      <c r="O227" s="54" t="n"/>
      <c r="P227" s="50" t="n"/>
      <c r="Q227" s="51" t="n"/>
      <c r="R227" s="52" t="n"/>
      <c r="S227" s="15" t="n"/>
      <c r="T227" s="25" t="n"/>
      <c r="U227" s="25" t="n"/>
      <c r="V227" s="26" t="n"/>
    </row>
    <row r="228" ht="15.75" customHeight="1" s="94">
      <c r="A228" s="49" t="n"/>
      <c r="B228" s="11" t="n"/>
      <c r="J228" s="15" t="n"/>
      <c r="K228" s="13" t="n"/>
      <c r="L228" s="50" t="n"/>
      <c r="M228" s="50" t="n"/>
      <c r="N228" s="51" t="n"/>
      <c r="O228" s="54" t="n"/>
      <c r="P228" s="50" t="n"/>
      <c r="Q228" s="51" t="n"/>
      <c r="R228" s="52" t="n"/>
      <c r="S228" s="15" t="n"/>
      <c r="T228" s="25" t="n"/>
      <c r="U228" s="25" t="n"/>
      <c r="V228" s="26" t="n"/>
    </row>
    <row r="229" ht="15.75" customHeight="1" s="94">
      <c r="A229" s="49" t="n"/>
      <c r="B229" s="11" t="n"/>
      <c r="J229" s="15" t="n"/>
      <c r="K229" s="13" t="n"/>
      <c r="L229" s="50" t="n"/>
      <c r="M229" s="50" t="n"/>
      <c r="N229" s="51" t="n"/>
      <c r="O229" s="54" t="n"/>
      <c r="P229" s="50" t="n"/>
      <c r="Q229" s="51" t="n"/>
      <c r="R229" s="52" t="n"/>
      <c r="S229" s="15" t="n"/>
      <c r="T229" s="25" t="n"/>
      <c r="U229" s="25" t="n"/>
      <c r="V229" s="26" t="n"/>
    </row>
    <row r="230" ht="15.75" customHeight="1" s="94">
      <c r="A230" s="49" t="n"/>
      <c r="B230" s="11" t="n"/>
      <c r="J230" s="15" t="n"/>
      <c r="K230" s="13" t="n"/>
      <c r="L230" s="50" t="n"/>
      <c r="M230" s="50" t="n"/>
      <c r="N230" s="51" t="n"/>
      <c r="O230" s="54" t="n"/>
      <c r="P230" s="50" t="n"/>
      <c r="Q230" s="51" t="n"/>
      <c r="R230" s="52" t="n"/>
      <c r="S230" s="15" t="n"/>
      <c r="T230" s="25" t="n"/>
      <c r="U230" s="25" t="n"/>
      <c r="V230" s="26" t="n"/>
    </row>
    <row r="231" ht="15.75" customHeight="1" s="94">
      <c r="A231" s="49" t="n"/>
      <c r="B231" s="11" t="n"/>
      <c r="J231" s="15" t="n"/>
      <c r="K231" s="13" t="n"/>
      <c r="L231" s="50" t="n"/>
      <c r="M231" s="50" t="n"/>
      <c r="N231" s="51" t="n"/>
      <c r="O231" s="54" t="n"/>
      <c r="P231" s="50" t="n"/>
      <c r="Q231" s="51" t="n"/>
      <c r="R231" s="52" t="n"/>
      <c r="S231" s="15" t="n"/>
      <c r="T231" s="25" t="n"/>
      <c r="U231" s="25" t="n"/>
      <c r="V231" s="26" t="n"/>
    </row>
    <row r="232" ht="15.75" customHeight="1" s="94">
      <c r="A232" s="49" t="n"/>
      <c r="B232" s="11" t="n"/>
      <c r="J232" s="15" t="n"/>
      <c r="K232" s="13" t="n"/>
      <c r="L232" s="50" t="n"/>
      <c r="M232" s="50" t="n"/>
      <c r="N232" s="51" t="n"/>
      <c r="O232" s="54" t="n"/>
      <c r="P232" s="50" t="n"/>
      <c r="Q232" s="51" t="n"/>
      <c r="R232" s="52" t="n"/>
      <c r="S232" s="15" t="n"/>
      <c r="T232" s="25" t="n"/>
      <c r="U232" s="25" t="n"/>
      <c r="V232" s="26" t="n"/>
    </row>
    <row r="233" ht="15.75" customHeight="1" s="94">
      <c r="A233" s="49" t="n"/>
      <c r="B233" s="11" t="n"/>
      <c r="J233" s="15" t="n"/>
      <c r="K233" s="13" t="n"/>
      <c r="L233" s="50" t="n"/>
      <c r="M233" s="50" t="n"/>
      <c r="N233" s="51" t="n"/>
      <c r="O233" s="54" t="n"/>
      <c r="P233" s="50" t="n"/>
      <c r="Q233" s="51" t="n"/>
      <c r="R233" s="52" t="n"/>
      <c r="S233" s="15" t="n"/>
      <c r="T233" s="25" t="n"/>
      <c r="U233" s="25" t="n"/>
      <c r="V233" s="26" t="n"/>
    </row>
    <row r="234" ht="15.75" customHeight="1" s="94">
      <c r="A234" s="49" t="n"/>
      <c r="B234" s="11" t="n"/>
      <c r="J234" s="15" t="n"/>
      <c r="K234" s="13" t="n"/>
      <c r="L234" s="50" t="n"/>
      <c r="M234" s="50" t="n"/>
      <c r="N234" s="51" t="n"/>
      <c r="O234" s="54" t="n"/>
      <c r="P234" s="50" t="n"/>
      <c r="Q234" s="51" t="n"/>
      <c r="R234" s="52" t="n"/>
      <c r="S234" s="15" t="n"/>
      <c r="T234" s="25" t="n"/>
      <c r="U234" s="25" t="n"/>
      <c r="V234" s="26" t="n"/>
    </row>
    <row r="235" ht="15.75" customHeight="1" s="94">
      <c r="A235" s="49" t="n"/>
      <c r="B235" s="11" t="n"/>
      <c r="J235" s="15" t="n"/>
      <c r="K235" s="13" t="n"/>
      <c r="L235" s="50" t="n"/>
      <c r="M235" s="50" t="n"/>
      <c r="N235" s="51" t="n"/>
      <c r="O235" s="54" t="n"/>
      <c r="P235" s="50" t="n"/>
      <c r="Q235" s="51" t="n"/>
      <c r="R235" s="52" t="n"/>
      <c r="S235" s="15" t="n"/>
      <c r="T235" s="25" t="n"/>
      <c r="U235" s="25" t="n"/>
      <c r="V235" s="26" t="n"/>
    </row>
    <row r="236" ht="15.75" customHeight="1" s="94">
      <c r="A236" s="49" t="n"/>
      <c r="B236" s="11" t="n"/>
      <c r="J236" s="15" t="n"/>
      <c r="K236" s="13" t="n"/>
      <c r="L236" s="50" t="n"/>
      <c r="M236" s="50" t="n"/>
      <c r="N236" s="51" t="n"/>
      <c r="O236" s="54" t="n"/>
      <c r="P236" s="50" t="n"/>
      <c r="Q236" s="51" t="n"/>
      <c r="R236" s="52" t="n"/>
      <c r="S236" s="15" t="n"/>
      <c r="T236" s="25" t="n"/>
      <c r="U236" s="25" t="n"/>
      <c r="V236" s="26" t="n"/>
    </row>
    <row r="237" ht="15.75" customHeight="1" s="94">
      <c r="A237" s="49" t="n"/>
      <c r="B237" s="11" t="n"/>
      <c r="J237" s="15" t="n"/>
      <c r="K237" s="13" t="n"/>
      <c r="L237" s="50" t="n"/>
      <c r="M237" s="50" t="n"/>
      <c r="N237" s="51" t="n"/>
      <c r="O237" s="54" t="n"/>
      <c r="P237" s="50" t="n"/>
      <c r="Q237" s="51" t="n"/>
      <c r="R237" s="52" t="n"/>
      <c r="S237" s="15" t="n"/>
      <c r="T237" s="25" t="n"/>
      <c r="U237" s="25" t="n"/>
      <c r="V237" s="26" t="n"/>
    </row>
    <row r="238" ht="15.75" customHeight="1" s="94">
      <c r="A238" s="49" t="n"/>
      <c r="B238" s="11" t="n"/>
      <c r="J238" s="15" t="n"/>
      <c r="K238" s="13" t="n"/>
      <c r="L238" s="50" t="n"/>
      <c r="M238" s="50" t="n"/>
      <c r="N238" s="51" t="n"/>
      <c r="O238" s="54" t="n"/>
      <c r="P238" s="50" t="n"/>
      <c r="Q238" s="51" t="n"/>
      <c r="R238" s="52" t="n"/>
      <c r="S238" s="15" t="n"/>
      <c r="T238" s="25" t="n"/>
      <c r="U238" s="25" t="n"/>
      <c r="V238" s="26" t="n"/>
    </row>
    <row r="239" ht="15.75" customHeight="1" s="94">
      <c r="A239" s="49" t="n"/>
      <c r="B239" s="11" t="n"/>
      <c r="J239" s="15" t="n"/>
      <c r="K239" s="13" t="n"/>
      <c r="L239" s="50" t="n"/>
      <c r="M239" s="50" t="n"/>
      <c r="N239" s="51" t="n"/>
      <c r="O239" s="54" t="n"/>
      <c r="P239" s="50" t="n"/>
      <c r="Q239" s="51" t="n"/>
      <c r="R239" s="52" t="n"/>
      <c r="S239" s="15" t="n"/>
      <c r="T239" s="25" t="n"/>
      <c r="U239" s="25" t="n"/>
      <c r="V239" s="26" t="n"/>
    </row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autoFilter ref="$A$1:$W$1000"/>
  <mergeCells count="2">
    <mergeCell ref="W7:W8"/>
    <mergeCell ref="W5:W6"/>
  </mergeCells>
  <conditionalFormatting sqref="R2:S38 R40:S1000">
    <cfRule type="cellIs" priority="1" operator="greaterThan" dxfId="0">
      <formula>1</formula>
    </cfRule>
    <cfRule type="cellIs" priority="2" operator="greaterThan" dxfId="1">
      <formula>0.3</formula>
    </cfRule>
    <cfRule type="cellIs" priority="3" operator="lessThan" dxfId="2">
      <formula>0</formula>
    </cfRule>
    <cfRule type="cellIs" priority="4" operator="greaterThan" dxfId="3" stopIfTrue="1">
      <formula>0</formula>
    </cfRule>
  </conditionalFormatting>
  <conditionalFormatting sqref="O2:O38 O40:O42">
    <cfRule type="cellIs" priority="5" operator="greaterThan" dxfId="0">
      <formula>1</formula>
    </cfRule>
    <cfRule type="cellIs" priority="6" operator="greaterThan" dxfId="1">
      <formula>0.3</formula>
    </cfRule>
    <cfRule type="cellIs" priority="7" operator="lessThan" dxfId="2">
      <formula>0</formula>
    </cfRule>
    <cfRule type="cellIs" priority="8" operator="greaterThan" dxfId="3" stopIfTrue="1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Z2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2.88" customWidth="1" style="94" min="1" max="1"/>
    <col width="41.13" customWidth="1" style="94" min="2" max="2"/>
    <col width="35.38" customWidth="1" style="94" min="3" max="3"/>
    <col width="11" customWidth="1" style="94" min="4" max="4"/>
    <col width="21.75" customWidth="1" style="94" min="5" max="5"/>
    <col width="30.25" customWidth="1" style="94" min="6" max="6"/>
    <col width="29.25" customWidth="1" style="94" min="7" max="7"/>
    <col width="31.13" customWidth="1" style="94" min="8" max="8"/>
    <col width="49.63" customWidth="1" style="94" min="9" max="9"/>
    <col width="46.88" customWidth="1" style="94" min="10" max="10"/>
    <col width="43.88" customWidth="1" style="94" min="11" max="11"/>
    <col width="8.630000000000001" customWidth="1" style="94" min="12" max="21"/>
  </cols>
  <sheetData>
    <row r="1" ht="29.25" customHeight="1" s="94"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1" ht="15.75" customHeight="1" s="94"/>
    <row r="22" ht="15.75" customHeight="1" s="94"/>
    <row r="23" ht="15.75" customHeight="1" s="94"/>
    <row r="24" ht="15.75" customHeight="1" s="94"/>
    <row r="25" ht="15.75" customHeight="1" s="94"/>
    <row r="26" ht="15.75" customHeight="1" s="94"/>
    <row r="27" ht="15.75" customHeight="1" s="94"/>
    <row r="28" ht="15.75" customHeight="1" s="94"/>
    <row r="29" ht="15.75" customHeight="1" s="94"/>
    <row r="30" ht="15.75" customHeight="1" s="94"/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>
      <c r="E52" s="13" t="n"/>
      <c r="F52" s="25" t="n"/>
      <c r="G52" s="25" t="n"/>
      <c r="H52" s="25" t="n"/>
      <c r="I52" s="25" t="n"/>
      <c r="J52" s="13" t="n"/>
    </row>
    <row r="53" ht="15.75" customHeight="1" s="94">
      <c r="E53" s="13" t="n"/>
      <c r="F53" s="25" t="n"/>
      <c r="G53" s="25" t="n"/>
      <c r="H53" s="25" t="n"/>
      <c r="I53" s="25" t="n"/>
      <c r="J53" s="13" t="n"/>
    </row>
    <row r="54" ht="15.75" customHeight="1" s="94">
      <c r="E54" s="13" t="n"/>
      <c r="F54" s="25" t="n"/>
      <c r="G54" s="25" t="n"/>
      <c r="H54" s="25" t="n"/>
      <c r="I54" s="25" t="n"/>
      <c r="J54" s="13" t="n"/>
    </row>
    <row r="55" ht="15.75" customHeight="1" s="94">
      <c r="E55" s="13" t="n"/>
      <c r="F55" s="25" t="n"/>
      <c r="G55" s="25" t="n"/>
      <c r="H55" s="25" t="n"/>
      <c r="I55" s="25" t="n"/>
      <c r="J55" s="13" t="n"/>
    </row>
    <row r="56" ht="15.75" customHeight="1" s="94">
      <c r="E56" s="13" t="n"/>
      <c r="F56" s="25" t="n"/>
      <c r="G56" s="25" t="n"/>
      <c r="H56" s="25" t="n"/>
      <c r="I56" s="25" t="n"/>
      <c r="J56" s="13" t="n"/>
    </row>
    <row r="57" ht="15.75" customHeight="1" s="94">
      <c r="E57" s="13" t="n"/>
      <c r="F57" s="25" t="n"/>
      <c r="G57" s="25" t="n"/>
      <c r="H57" s="25" t="n"/>
      <c r="I57" s="25" t="n"/>
      <c r="J57" s="13" t="n"/>
    </row>
    <row r="58" ht="15.75" customHeight="1" s="94">
      <c r="E58" s="13" t="n"/>
      <c r="F58" s="25" t="n"/>
      <c r="G58" s="25" t="n"/>
      <c r="H58" s="25" t="n"/>
      <c r="I58" s="25" t="n"/>
      <c r="J58" s="13" t="n"/>
    </row>
    <row r="59" ht="15.75" customHeight="1" s="94">
      <c r="E59" s="13" t="n"/>
      <c r="F59" s="25" t="n"/>
      <c r="G59" s="25" t="n"/>
      <c r="H59" s="25" t="n"/>
      <c r="I59" s="25" t="n"/>
      <c r="J59" s="13" t="n"/>
    </row>
    <row r="60" ht="15.75" customHeight="1" s="94">
      <c r="E60" s="13" t="n"/>
      <c r="F60" s="25" t="n"/>
      <c r="G60" s="25" t="n"/>
      <c r="H60" s="25" t="n"/>
      <c r="I60" s="25" t="n"/>
      <c r="J60" s="13" t="n"/>
    </row>
    <row r="61" ht="15.75" customHeight="1" s="94">
      <c r="E61" s="13" t="n"/>
      <c r="F61" s="25" t="n"/>
      <c r="G61" s="25" t="n"/>
      <c r="H61" s="25" t="n"/>
      <c r="I61" s="25" t="n"/>
      <c r="J61" s="13" t="n"/>
    </row>
    <row r="62" ht="15.75" customHeight="1" s="94">
      <c r="E62" s="13" t="n"/>
      <c r="F62" s="25" t="n"/>
      <c r="G62" s="25" t="n"/>
      <c r="H62" s="25" t="n"/>
      <c r="I62" s="25" t="n"/>
      <c r="J62" s="13" t="n"/>
    </row>
    <row r="63" ht="15.75" customHeight="1" s="94">
      <c r="E63" s="13" t="n"/>
      <c r="F63" s="25" t="n"/>
      <c r="G63" s="25" t="n"/>
      <c r="H63" s="25" t="n"/>
      <c r="I63" s="25" t="n"/>
      <c r="J63" s="13" t="n"/>
    </row>
    <row r="64" ht="15.75" customHeight="1" s="94">
      <c r="E64" s="13" t="n"/>
      <c r="F64" s="25" t="n"/>
      <c r="G64" s="25" t="n"/>
      <c r="H64" s="25" t="n"/>
      <c r="I64" s="25" t="n"/>
      <c r="J64" s="13" t="n"/>
    </row>
    <row r="65" ht="15.75" customHeight="1" s="94">
      <c r="E65" s="13" t="n"/>
      <c r="F65" s="25" t="n"/>
      <c r="G65" s="25" t="n"/>
      <c r="H65" s="25" t="n"/>
      <c r="I65" s="25" t="n"/>
      <c r="J65" s="13" t="n"/>
    </row>
    <row r="66" ht="15.75" customHeight="1" s="94">
      <c r="E66" s="13" t="n"/>
      <c r="F66" s="25" t="n"/>
      <c r="G66" s="25" t="n"/>
      <c r="H66" s="25" t="n"/>
      <c r="I66" s="25" t="n"/>
      <c r="J66" s="13" t="n"/>
    </row>
    <row r="67" ht="15.75" customHeight="1" s="94">
      <c r="E67" s="13" t="n"/>
      <c r="F67" s="25" t="n"/>
      <c r="G67" s="25" t="n"/>
      <c r="H67" s="25" t="n"/>
      <c r="I67" s="25" t="n"/>
      <c r="J67" s="13" t="n"/>
    </row>
    <row r="68" ht="15.75" customHeight="1" s="94">
      <c r="E68" s="13" t="n"/>
      <c r="F68" s="25" t="n"/>
      <c r="G68" s="25" t="n"/>
      <c r="H68" s="25" t="n"/>
      <c r="I68" s="25" t="n"/>
      <c r="J68" s="13" t="n"/>
    </row>
    <row r="69" ht="15.75" customHeight="1" s="94">
      <c r="E69" s="13" t="n"/>
      <c r="F69" s="25" t="n"/>
      <c r="G69" s="25" t="n"/>
      <c r="H69" s="25" t="n"/>
      <c r="I69" s="25" t="n"/>
      <c r="J69" s="13" t="n"/>
    </row>
    <row r="70" ht="15.75" customHeight="1" s="94">
      <c r="E70" s="13" t="n"/>
      <c r="F70" s="25" t="n"/>
      <c r="G70" s="25" t="n"/>
      <c r="H70" s="25" t="n"/>
      <c r="I70" s="25" t="n"/>
      <c r="J70" s="13" t="n"/>
    </row>
    <row r="71" ht="15.75" customHeight="1" s="94">
      <c r="E71" s="13" t="n"/>
      <c r="F71" s="25" t="n"/>
      <c r="G71" s="25" t="n"/>
      <c r="H71" s="25" t="n"/>
      <c r="I71" s="25" t="n"/>
      <c r="J71" s="13" t="n"/>
    </row>
    <row r="72" ht="15.75" customHeight="1" s="94">
      <c r="E72" s="13" t="n"/>
      <c r="F72" s="25" t="n"/>
      <c r="G72" s="25" t="n"/>
      <c r="H72" s="25" t="n"/>
      <c r="I72" s="25" t="n"/>
      <c r="J72" s="13" t="n"/>
    </row>
    <row r="73" ht="15.75" customHeight="1" s="94">
      <c r="E73" s="13" t="n"/>
      <c r="F73" s="25" t="n"/>
      <c r="G73" s="25" t="n"/>
      <c r="H73" s="25" t="n"/>
      <c r="I73" s="25" t="n"/>
      <c r="J73" s="13" t="n"/>
    </row>
    <row r="74" ht="15.75" customHeight="1" s="94">
      <c r="E74" s="13" t="n"/>
      <c r="F74" s="25" t="n"/>
      <c r="G74" s="25" t="n"/>
      <c r="H74" s="25" t="n"/>
      <c r="I74" s="25" t="n"/>
      <c r="J74" s="13" t="n"/>
    </row>
    <row r="75" ht="15.75" customHeight="1" s="94">
      <c r="E75" s="13" t="n"/>
      <c r="F75" s="25" t="n"/>
      <c r="G75" s="25" t="n"/>
      <c r="H75" s="25" t="n"/>
      <c r="I75" s="25" t="n"/>
      <c r="J75" s="13" t="n"/>
    </row>
    <row r="76" ht="15.75" customHeight="1" s="94">
      <c r="E76" s="13" t="n"/>
      <c r="F76" s="25" t="n"/>
      <c r="G76" s="25" t="n"/>
      <c r="H76" s="25" t="n"/>
      <c r="I76" s="25" t="n"/>
      <c r="J76" s="13" t="n"/>
    </row>
    <row r="77" ht="15.75" customHeight="1" s="94">
      <c r="E77" s="13" t="n"/>
      <c r="F77" s="25" t="n"/>
      <c r="G77" s="25" t="n"/>
      <c r="H77" s="25" t="n"/>
      <c r="I77" s="25" t="n"/>
      <c r="J77" s="13" t="n"/>
    </row>
    <row r="78" ht="15.75" customHeight="1" s="94">
      <c r="E78" s="13" t="n"/>
      <c r="F78" s="25" t="n"/>
      <c r="G78" s="25" t="n"/>
      <c r="H78" s="25" t="n"/>
      <c r="I78" s="25" t="n"/>
      <c r="J78" s="13" t="n"/>
    </row>
    <row r="79" ht="15.75" customHeight="1" s="94">
      <c r="E79" s="13" t="n"/>
      <c r="F79" s="25" t="n"/>
      <c r="G79" s="25" t="n"/>
      <c r="H79" s="25" t="n"/>
      <c r="I79" s="25" t="n"/>
      <c r="J79" s="13" t="n"/>
    </row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>
      <c r="H85" s="25" t="n"/>
      <c r="I85" s="25" t="n"/>
    </row>
    <row r="86" ht="15.75" customHeight="1" s="94">
      <c r="H86" s="25" t="n"/>
      <c r="I86" s="25" t="n"/>
    </row>
    <row r="87" ht="15.75" customHeight="1" s="94">
      <c r="H87" s="25" t="n"/>
      <c r="I87" s="25" t="n"/>
    </row>
    <row r="88" ht="15.75" customHeight="1" s="94">
      <c r="H88" s="25" t="n"/>
      <c r="I88" s="25" t="n"/>
    </row>
    <row r="89" ht="15.75" customHeight="1" s="94">
      <c r="H89" s="25" t="n"/>
      <c r="I89" s="25" t="n"/>
    </row>
    <row r="90" ht="15.75" customHeight="1" s="94">
      <c r="H90" s="25" t="n"/>
      <c r="I90" s="25" t="n"/>
    </row>
    <row r="91" ht="15.75" customHeight="1" s="94">
      <c r="H91" s="25" t="n"/>
      <c r="I91" s="25" t="n"/>
    </row>
    <row r="92" ht="15.75" customHeight="1" s="94">
      <c r="H92" s="25" t="n"/>
      <c r="I92" s="25" t="n"/>
    </row>
    <row r="93" ht="15.75" customHeight="1" s="94">
      <c r="H93" s="25" t="n"/>
      <c r="I93" s="25" t="n"/>
    </row>
    <row r="94" ht="15.75" customHeight="1" s="94">
      <c r="H94" s="25" t="n"/>
      <c r="I94" s="25" t="n"/>
    </row>
    <row r="95" ht="15.75" customHeight="1" s="94">
      <c r="H95" s="25" t="n"/>
      <c r="I95" s="25" t="n"/>
    </row>
    <row r="96" ht="15.75" customHeight="1" s="94">
      <c r="H96" s="25" t="n"/>
      <c r="I96" s="25" t="n"/>
    </row>
    <row r="97" ht="15.75" customHeight="1" s="94">
      <c r="H97" s="25" t="n"/>
      <c r="I97" s="25" t="n"/>
    </row>
    <row r="98" ht="15.75" customHeight="1" s="94">
      <c r="H98" s="25" t="n"/>
      <c r="I98" s="25" t="n"/>
    </row>
    <row r="99" ht="15.75" customHeight="1" s="94">
      <c r="H99" s="25" t="n"/>
      <c r="I99" s="25" t="n"/>
    </row>
    <row r="100" ht="15.75" customHeight="1" s="94">
      <c r="H100" s="25" t="n"/>
      <c r="I100" s="25" t="n"/>
    </row>
    <row r="101" ht="15.75" customHeight="1" s="94">
      <c r="H101" s="25" t="n"/>
      <c r="I101" s="25" t="n"/>
    </row>
    <row r="102" ht="15.75" customHeight="1" s="94">
      <c r="H102" s="25" t="n"/>
      <c r="I102" s="25" t="n"/>
    </row>
    <row r="103" ht="15.75" customHeight="1" s="94">
      <c r="H103" s="25" t="n"/>
      <c r="I103" s="25" t="n"/>
    </row>
    <row r="104" ht="15.75" customHeight="1" s="94">
      <c r="H104" s="25" t="n"/>
      <c r="I104" s="25" t="n"/>
    </row>
    <row r="105" ht="15.75" customHeight="1" s="94">
      <c r="H105" s="25" t="n"/>
      <c r="I105" s="25" t="n"/>
    </row>
    <row r="106" ht="15.75" customHeight="1" s="94">
      <c r="H106" s="25" t="n"/>
      <c r="I106" s="25" t="n"/>
    </row>
    <row r="107" ht="15.75" customHeight="1" s="94">
      <c r="H107" s="25" t="n"/>
      <c r="I107" s="25" t="n"/>
    </row>
    <row r="108" ht="15.75" customHeight="1" s="94">
      <c r="H108" s="25" t="n"/>
      <c r="I108" s="25" t="n"/>
    </row>
    <row r="109" ht="15.75" customHeight="1" s="94">
      <c r="H109" s="25" t="n"/>
      <c r="I109" s="25" t="n"/>
    </row>
    <row r="110" ht="15.75" customHeight="1" s="94">
      <c r="H110" s="25" t="n"/>
      <c r="I110" s="25" t="n"/>
    </row>
    <row r="111" ht="15.75" customHeight="1" s="94">
      <c r="H111" s="25" t="n"/>
      <c r="I111" s="25" t="n"/>
    </row>
    <row r="112" ht="15.75" customHeight="1" s="94">
      <c r="H112" s="25" t="n"/>
      <c r="I112" s="25" t="n"/>
    </row>
    <row r="113" ht="15.75" customHeight="1" s="94">
      <c r="H113" s="25" t="n"/>
      <c r="I113" s="25" t="n"/>
    </row>
    <row r="114" ht="15.75" customHeight="1" s="94">
      <c r="H114" s="25" t="n"/>
      <c r="I114" s="25" t="n"/>
    </row>
    <row r="115" ht="15.75" customHeight="1" s="94">
      <c r="H115" s="25" t="n"/>
      <c r="I115" s="25" t="n"/>
    </row>
    <row r="116" ht="15.75" customHeight="1" s="94">
      <c r="H116" s="25" t="n"/>
      <c r="I116" s="25" t="n"/>
    </row>
    <row r="117" ht="15.75" customHeight="1" s="94">
      <c r="H117" s="25" t="n"/>
      <c r="I117" s="25" t="n"/>
    </row>
    <row r="118" ht="15.75" customHeight="1" s="94">
      <c r="H118" s="25" t="n"/>
      <c r="I118" s="25" t="n"/>
    </row>
    <row r="119" ht="15.75" customHeight="1" s="94">
      <c r="H119" s="25" t="n"/>
      <c r="I119" s="25" t="n"/>
    </row>
    <row r="120" ht="15.75" customHeight="1" s="94">
      <c r="H120" s="25" t="n"/>
      <c r="I120" s="25" t="n"/>
    </row>
    <row r="121" ht="15.75" customHeight="1" s="94">
      <c r="H121" s="25" t="n"/>
      <c r="I121" s="25" t="n"/>
    </row>
    <row r="122" ht="15.75" customHeight="1" s="94">
      <c r="H122" s="25" t="n"/>
      <c r="I122" s="25" t="n"/>
    </row>
    <row r="123" ht="15.75" customHeight="1" s="94">
      <c r="H123" s="25" t="n"/>
      <c r="I123" s="25" t="n"/>
    </row>
    <row r="124" ht="15.75" customHeight="1" s="94">
      <c r="H124" s="25" t="n"/>
      <c r="I124" s="25" t="n"/>
    </row>
    <row r="125" ht="15.75" customHeight="1" s="94">
      <c r="H125" s="25" t="n"/>
      <c r="I125" s="25" t="n"/>
    </row>
    <row r="126" ht="15.75" customHeight="1" s="94">
      <c r="H126" s="25" t="n"/>
      <c r="I126" s="25" t="n"/>
    </row>
    <row r="127" ht="15.75" customHeight="1" s="94">
      <c r="C127" s="13" t="n"/>
      <c r="E127" s="25" t="n"/>
      <c r="G127" s="25" t="n"/>
      <c r="H127" s="25" t="n"/>
      <c r="I127" s="25" t="n"/>
    </row>
    <row r="128" ht="15.75" customHeight="1" s="94">
      <c r="C128" s="13" t="n"/>
      <c r="E128" s="25" t="n"/>
      <c r="G128" s="25" t="n"/>
      <c r="H128" s="25" t="n"/>
      <c r="I128" s="25" t="n"/>
    </row>
    <row r="129" ht="15.75" customHeight="1" s="94">
      <c r="C129" s="13" t="n"/>
      <c r="E129" s="25" t="n"/>
      <c r="G129" s="25" t="n"/>
      <c r="H129" s="25" t="n"/>
      <c r="I129" s="25" t="n"/>
    </row>
    <row r="130" ht="15.75" customHeight="1" s="94">
      <c r="C130" s="13" t="n"/>
      <c r="E130" s="25" t="n"/>
      <c r="G130" s="25" t="n"/>
      <c r="H130" s="25" t="n"/>
      <c r="I130" s="25" t="n"/>
    </row>
    <row r="131" ht="15.75" customHeight="1" s="94">
      <c r="C131" s="13" t="n"/>
      <c r="E131" s="25" t="n"/>
      <c r="G131" s="25" t="n"/>
      <c r="H131" s="25" t="n"/>
      <c r="I131" s="25" t="n"/>
    </row>
    <row r="132" ht="15.75" customHeight="1" s="94">
      <c r="C132" s="13" t="n"/>
      <c r="E132" s="25" t="n"/>
      <c r="G132" s="25" t="n"/>
      <c r="H132" s="25" t="n"/>
      <c r="I132" s="25" t="n"/>
    </row>
    <row r="133" ht="15.75" customHeight="1" s="94">
      <c r="C133" s="13" t="n"/>
      <c r="E133" s="25" t="n"/>
      <c r="G133" s="25" t="n"/>
      <c r="H133" s="25" t="n"/>
      <c r="I133" s="25" t="n"/>
    </row>
    <row r="134" ht="15.75" customHeight="1" s="94">
      <c r="C134" s="13" t="n"/>
      <c r="E134" s="25" t="n"/>
      <c r="G134" s="25" t="n"/>
      <c r="H134" s="25" t="n"/>
      <c r="I134" s="25" t="n"/>
    </row>
    <row r="135" ht="15.75" customHeight="1" s="94">
      <c r="C135" s="13" t="n"/>
      <c r="E135" s="25" t="n"/>
      <c r="G135" s="25" t="n"/>
      <c r="H135" s="25" t="n"/>
      <c r="I135" s="25" t="n"/>
    </row>
    <row r="136" ht="15.75" customHeight="1" s="94">
      <c r="C136" s="13" t="n"/>
      <c r="E136" s="25" t="n"/>
      <c r="G136" s="25" t="n"/>
      <c r="H136" s="25" t="n"/>
      <c r="I136" s="25" t="n"/>
    </row>
    <row r="137" ht="15.75" customHeight="1" s="94">
      <c r="C137" s="13" t="n"/>
      <c r="E137" s="25" t="n"/>
      <c r="G137" s="25" t="n"/>
      <c r="H137" s="25" t="n"/>
      <c r="I137" s="25" t="n"/>
    </row>
    <row r="138" ht="15.75" customHeight="1" s="94">
      <c r="C138" s="13" t="n"/>
      <c r="E138" s="25" t="n"/>
      <c r="G138" s="25" t="n"/>
      <c r="H138" s="25" t="n"/>
      <c r="I138" s="25" t="n"/>
    </row>
    <row r="139" ht="15.75" customHeight="1" s="94">
      <c r="C139" s="13" t="n"/>
      <c r="E139" s="25" t="n"/>
      <c r="G139" s="25" t="n"/>
      <c r="H139" s="25" t="n"/>
      <c r="I139" s="25" t="n"/>
    </row>
    <row r="140" ht="15.75" customHeight="1" s="94">
      <c r="C140" s="13" t="n"/>
      <c r="E140" s="25" t="n"/>
      <c r="G140" s="25" t="n"/>
      <c r="H140" s="25" t="n"/>
      <c r="I140" s="25" t="n"/>
    </row>
    <row r="141" ht="15.75" customHeight="1" s="94">
      <c r="C141" s="13" t="n"/>
      <c r="E141" s="25" t="n"/>
      <c r="G141" s="25" t="n"/>
      <c r="H141" s="25" t="n"/>
      <c r="I141" s="25" t="n"/>
    </row>
    <row r="142" ht="15.75" customHeight="1" s="94">
      <c r="C142" s="13" t="n"/>
      <c r="E142" s="25" t="n"/>
      <c r="G142" s="25" t="n"/>
      <c r="H142" s="25" t="n"/>
      <c r="I142" s="25" t="n"/>
    </row>
    <row r="143" ht="15.75" customHeight="1" s="94">
      <c r="C143" s="13" t="n"/>
      <c r="E143" s="25" t="n"/>
      <c r="G143" s="25" t="n"/>
      <c r="H143" s="25" t="n"/>
      <c r="I143" s="25" t="n"/>
    </row>
    <row r="144" ht="15.75" customHeight="1" s="94">
      <c r="C144" s="13" t="n"/>
      <c r="E144" s="25" t="n"/>
      <c r="G144" s="25" t="n"/>
      <c r="H144" s="25" t="n"/>
      <c r="I144" s="25" t="n"/>
    </row>
    <row r="145" ht="15.75" customHeight="1" s="94">
      <c r="C145" s="13" t="n"/>
      <c r="E145" s="25" t="n"/>
      <c r="G145" s="25" t="n"/>
      <c r="H145" s="25" t="n"/>
      <c r="I145" s="25" t="n"/>
    </row>
    <row r="146" ht="15.75" customHeight="1" s="94">
      <c r="C146" s="13" t="n"/>
      <c r="E146" s="25" t="n"/>
      <c r="G146" s="25" t="n"/>
      <c r="H146" s="25" t="n"/>
      <c r="I146" s="25" t="n"/>
    </row>
    <row r="147" ht="15.75" customHeight="1" s="94">
      <c r="C147" s="13" t="n"/>
      <c r="E147" s="25" t="n"/>
      <c r="G147" s="25" t="n"/>
      <c r="H147" s="25" t="n"/>
      <c r="I147" s="25" t="n"/>
    </row>
    <row r="148" ht="15.75" customHeight="1" s="94">
      <c r="C148" s="13" t="n"/>
      <c r="E148" s="25" t="n"/>
      <c r="G148" s="25" t="n"/>
      <c r="H148" s="25" t="n"/>
      <c r="I148" s="25" t="n"/>
    </row>
    <row r="149" ht="15.75" customHeight="1" s="94">
      <c r="C149" s="13" t="n"/>
      <c r="E149" s="25" t="n"/>
      <c r="G149" s="25" t="n"/>
      <c r="H149" s="25" t="n"/>
      <c r="I149" s="25" t="n"/>
    </row>
    <row r="150" ht="15.75" customHeight="1" s="94">
      <c r="C150" s="13" t="n"/>
      <c r="E150" s="25" t="n"/>
      <c r="G150" s="25" t="n"/>
      <c r="H150" s="25" t="n"/>
      <c r="I150" s="25" t="n"/>
    </row>
    <row r="151" ht="15.75" customHeight="1" s="94">
      <c r="C151" s="13" t="n"/>
      <c r="E151" s="25" t="n"/>
      <c r="G151" s="25" t="n"/>
      <c r="H151" s="25" t="n"/>
      <c r="I151" s="25" t="n"/>
    </row>
    <row r="152" ht="15.75" customHeight="1" s="94">
      <c r="C152" s="13" t="n"/>
      <c r="E152" s="25" t="n"/>
      <c r="G152" s="25" t="n"/>
      <c r="H152" s="25" t="n"/>
      <c r="I152" s="25" t="n"/>
    </row>
    <row r="153" ht="15.75" customHeight="1" s="94">
      <c r="C153" s="13" t="n"/>
      <c r="E153" s="25" t="n"/>
      <c r="G153" s="25" t="n"/>
      <c r="H153" s="25" t="n"/>
      <c r="I153" s="25" t="n"/>
    </row>
    <row r="154" ht="15.75" customHeight="1" s="94">
      <c r="C154" s="13" t="n"/>
      <c r="E154" s="25" t="n"/>
      <c r="G154" s="25" t="n"/>
      <c r="H154" s="25" t="n"/>
      <c r="I154" s="25" t="n"/>
    </row>
    <row r="155" ht="15.75" customHeight="1" s="94">
      <c r="C155" s="13" t="n"/>
      <c r="E155" s="25" t="n"/>
      <c r="G155" s="25" t="n"/>
      <c r="H155" s="25" t="n"/>
      <c r="I155" s="25" t="n"/>
    </row>
    <row r="156" ht="15.75" customHeight="1" s="94">
      <c r="C156" s="13" t="n"/>
      <c r="E156" s="25" t="n"/>
      <c r="G156" s="25" t="n"/>
      <c r="H156" s="25" t="n"/>
      <c r="I156" s="25" t="n"/>
    </row>
    <row r="157" ht="15.75" customHeight="1" s="94">
      <c r="C157" s="13" t="n"/>
      <c r="E157" s="25" t="n"/>
      <c r="G157" s="25" t="n"/>
      <c r="H157" s="25" t="n"/>
      <c r="I157" s="25" t="n"/>
    </row>
    <row r="158" ht="15.75" customHeight="1" s="94">
      <c r="C158" s="13" t="n"/>
      <c r="E158" s="25" t="n"/>
      <c r="G158" s="25" t="n"/>
      <c r="H158" s="25" t="n"/>
      <c r="I158" s="25" t="n"/>
    </row>
    <row r="159" ht="15.75" customHeight="1" s="94">
      <c r="C159" s="13" t="n"/>
      <c r="E159" s="25" t="n"/>
      <c r="G159" s="25" t="n"/>
      <c r="H159" s="25" t="n"/>
      <c r="I159" s="25" t="n"/>
    </row>
    <row r="160" ht="15.75" customHeight="1" s="94">
      <c r="C160" s="13" t="n"/>
      <c r="E160" s="25" t="n"/>
      <c r="G160" s="25" t="n"/>
      <c r="H160" s="25" t="n"/>
      <c r="I160" s="25" t="n"/>
    </row>
    <row r="161" ht="15.75" customHeight="1" s="94">
      <c r="C161" s="13" t="n"/>
      <c r="E161" s="25" t="n"/>
      <c r="G161" s="25" t="n"/>
      <c r="H161" s="25" t="n"/>
      <c r="I161" s="25" t="n"/>
    </row>
    <row r="162" ht="15.75" customHeight="1" s="94">
      <c r="C162" s="13" t="n"/>
      <c r="E162" s="25" t="n"/>
      <c r="G162" s="25" t="n"/>
      <c r="H162" s="25" t="n"/>
      <c r="I162" s="25" t="n"/>
    </row>
    <row r="163" ht="15.75" customHeight="1" s="94">
      <c r="C163" s="13" t="n"/>
      <c r="E163" s="25" t="n"/>
      <c r="G163" s="25" t="n"/>
      <c r="H163" s="25" t="n"/>
      <c r="I163" s="25" t="n"/>
    </row>
    <row r="164" ht="15.75" customHeight="1" s="94">
      <c r="C164" s="13" t="n"/>
      <c r="E164" s="25" t="n"/>
      <c r="G164" s="25" t="n"/>
      <c r="H164" s="25" t="n"/>
      <c r="I164" s="25" t="n"/>
    </row>
    <row r="165" ht="15.75" customHeight="1" s="94">
      <c r="C165" s="13" t="n"/>
      <c r="E165" s="25" t="n"/>
      <c r="G165" s="25" t="n"/>
      <c r="H165" s="25" t="n"/>
      <c r="I165" s="25" t="n"/>
    </row>
    <row r="166" ht="15.75" customHeight="1" s="94">
      <c r="C166" s="13" t="n"/>
      <c r="E166" s="25" t="n"/>
      <c r="G166" s="25" t="n"/>
      <c r="H166" s="25" t="n"/>
      <c r="I166" s="25" t="n"/>
    </row>
    <row r="167" ht="15.75" customHeight="1" s="94">
      <c r="C167" s="13" t="n"/>
      <c r="E167" s="25" t="n"/>
      <c r="G167" s="25" t="n"/>
      <c r="H167" s="25" t="n"/>
      <c r="I167" s="25" t="n"/>
    </row>
    <row r="168" ht="15.75" customHeight="1" s="94">
      <c r="C168" s="13" t="n"/>
      <c r="E168" s="25" t="n"/>
      <c r="G168" s="25" t="n"/>
      <c r="H168" s="25" t="n"/>
      <c r="I168" s="25" t="n"/>
    </row>
    <row r="169" ht="15.75" customHeight="1" s="94">
      <c r="C169" s="13" t="n"/>
      <c r="E169" s="25" t="n"/>
      <c r="G169" s="25" t="n"/>
      <c r="H169" s="25" t="n"/>
      <c r="I169" s="25" t="n"/>
    </row>
    <row r="170" ht="15.75" customHeight="1" s="94">
      <c r="C170" s="13" t="n"/>
      <c r="E170" s="25" t="n"/>
      <c r="G170" s="25" t="n"/>
      <c r="H170" s="25" t="n"/>
      <c r="I170" s="25" t="n"/>
    </row>
    <row r="171" ht="15.75" customHeight="1" s="94">
      <c r="C171" s="13" t="n"/>
      <c r="E171" s="25" t="n"/>
      <c r="G171" s="25" t="n"/>
      <c r="H171" s="25" t="n"/>
      <c r="I171" s="25" t="n"/>
    </row>
    <row r="172" ht="15.75" customHeight="1" s="94">
      <c r="C172" s="13" t="n"/>
      <c r="E172" s="25" t="n"/>
      <c r="G172" s="25" t="n"/>
      <c r="H172" s="25" t="n"/>
      <c r="I172" s="25" t="n"/>
    </row>
    <row r="173" ht="15.75" customHeight="1" s="94">
      <c r="C173" s="13" t="n"/>
      <c r="E173" s="25" t="n"/>
      <c r="G173" s="25" t="n"/>
      <c r="H173" s="25" t="n"/>
      <c r="I173" s="25" t="n"/>
    </row>
    <row r="174" ht="15.75" customHeight="1" s="94">
      <c r="C174" s="13" t="n"/>
      <c r="E174" s="25" t="n"/>
      <c r="G174" s="25" t="n"/>
      <c r="H174" s="25" t="n"/>
      <c r="I174" s="25" t="n"/>
    </row>
    <row r="175" ht="15.75" customHeight="1" s="94">
      <c r="C175" s="13" t="n"/>
      <c r="E175" s="25" t="n"/>
      <c r="G175" s="25" t="n"/>
      <c r="H175" s="25" t="n"/>
      <c r="I175" s="25" t="n"/>
    </row>
    <row r="176" ht="15.75" customHeight="1" s="94">
      <c r="C176" s="13" t="n"/>
      <c r="E176" s="25" t="n"/>
      <c r="G176" s="25" t="n"/>
      <c r="H176" s="25" t="n"/>
      <c r="I176" s="25" t="n"/>
    </row>
    <row r="177" ht="15.75" customHeight="1" s="94">
      <c r="C177" s="13" t="n"/>
      <c r="E177" s="25" t="n"/>
      <c r="G177" s="25" t="n"/>
      <c r="H177" s="25" t="n"/>
      <c r="I177" s="25" t="n"/>
    </row>
    <row r="178" ht="15.75" customHeight="1" s="94">
      <c r="C178" s="13" t="n"/>
      <c r="E178" s="25" t="n"/>
      <c r="G178" s="25" t="n"/>
      <c r="H178" s="25" t="n"/>
      <c r="I178" s="25" t="n"/>
    </row>
    <row r="179" ht="15.75" customHeight="1" s="94">
      <c r="C179" s="13" t="n"/>
      <c r="E179" s="25" t="n"/>
      <c r="G179" s="25" t="n"/>
      <c r="H179" s="25" t="n"/>
      <c r="I179" s="25" t="n"/>
    </row>
    <row r="180" ht="15.75" customHeight="1" s="94">
      <c r="C180" s="13" t="n"/>
      <c r="E180" s="25" t="n"/>
      <c r="G180" s="25" t="n"/>
      <c r="H180" s="25" t="n"/>
      <c r="I180" s="25" t="n"/>
    </row>
    <row r="181" ht="15.75" customHeight="1" s="94">
      <c r="C181" s="13" t="n"/>
      <c r="E181" s="25" t="n"/>
      <c r="G181" s="25" t="n"/>
      <c r="H181" s="25" t="n"/>
      <c r="I181" s="25" t="n"/>
    </row>
    <row r="182" ht="15.75" customHeight="1" s="94">
      <c r="C182" s="13" t="n"/>
      <c r="E182" s="25" t="n"/>
      <c r="G182" s="25" t="n"/>
      <c r="H182" s="25" t="n"/>
      <c r="I182" s="25" t="n"/>
    </row>
    <row r="183" ht="15.75" customHeight="1" s="94">
      <c r="C183" s="13" t="n"/>
      <c r="E183" s="25" t="n"/>
      <c r="G183" s="25" t="n"/>
      <c r="H183" s="25" t="n"/>
      <c r="I183" s="25" t="n"/>
    </row>
    <row r="184" ht="15.75" customHeight="1" s="94">
      <c r="C184" s="13" t="n"/>
      <c r="E184" s="25" t="n"/>
      <c r="G184" s="25" t="n"/>
      <c r="H184" s="25" t="n"/>
      <c r="I184" s="25" t="n"/>
    </row>
    <row r="185" ht="15.75" customHeight="1" s="94">
      <c r="C185" s="13" t="n"/>
      <c r="E185" s="25" t="n"/>
      <c r="G185" s="25" t="n"/>
      <c r="H185" s="25" t="n"/>
      <c r="I185" s="25" t="n"/>
    </row>
    <row r="186" ht="15.75" customHeight="1" s="94">
      <c r="C186" s="13" t="n"/>
      <c r="E186" s="25" t="n"/>
      <c r="G186" s="25" t="n"/>
      <c r="H186" s="25" t="n"/>
      <c r="I186" s="25" t="n"/>
    </row>
    <row r="187" ht="15.75" customHeight="1" s="94">
      <c r="C187" s="13" t="n"/>
      <c r="E187" s="25" t="n"/>
      <c r="G187" s="25" t="n"/>
      <c r="H187" s="25" t="n"/>
      <c r="I187" s="25" t="n"/>
    </row>
    <row r="188" ht="15.75" customHeight="1" s="94">
      <c r="C188" s="13" t="n"/>
      <c r="E188" s="25" t="n"/>
      <c r="G188" s="25" t="n"/>
      <c r="H188" s="25" t="n"/>
      <c r="I188" s="25" t="n"/>
    </row>
    <row r="189" ht="15.75" customHeight="1" s="94">
      <c r="C189" s="13" t="n"/>
      <c r="E189" s="25" t="n"/>
      <c r="G189" s="25" t="n"/>
      <c r="H189" s="25" t="n"/>
      <c r="I189" s="25" t="n"/>
    </row>
    <row r="190" ht="15.75" customHeight="1" s="94">
      <c r="C190" s="13" t="n"/>
      <c r="E190" s="25" t="n"/>
      <c r="G190" s="25" t="n"/>
      <c r="H190" s="25" t="n"/>
      <c r="I190" s="25" t="n"/>
    </row>
    <row r="191" ht="15.75" customHeight="1" s="94">
      <c r="C191" s="13" t="n"/>
      <c r="E191" s="25" t="n"/>
      <c r="G191" s="25" t="n"/>
      <c r="H191" s="25" t="n"/>
      <c r="I191" s="25" t="n"/>
    </row>
    <row r="192" ht="15.75" customHeight="1" s="94">
      <c r="C192" s="13" t="n"/>
      <c r="E192" s="25" t="n"/>
      <c r="G192" s="25" t="n"/>
      <c r="H192" s="25" t="n"/>
      <c r="I192" s="25" t="n"/>
    </row>
    <row r="193" ht="15.75" customHeight="1" s="94">
      <c r="C193" s="13" t="n"/>
      <c r="E193" s="25" t="n"/>
      <c r="G193" s="25" t="n"/>
      <c r="H193" s="25" t="n"/>
      <c r="I193" s="25" t="n"/>
    </row>
    <row r="194" ht="15.75" customHeight="1" s="94">
      <c r="C194" s="13" t="n"/>
      <c r="E194" s="25" t="n"/>
      <c r="G194" s="25" t="n"/>
      <c r="H194" s="25" t="n"/>
      <c r="I194" s="25" t="n"/>
    </row>
    <row r="195" ht="15.75" customHeight="1" s="94">
      <c r="C195" s="13" t="n"/>
      <c r="E195" s="25" t="n"/>
      <c r="G195" s="25" t="n"/>
      <c r="H195" s="25" t="n"/>
      <c r="I195" s="25" t="n"/>
    </row>
    <row r="196" ht="15.75" customHeight="1" s="94">
      <c r="C196" s="13" t="n"/>
      <c r="E196" s="25" t="n"/>
      <c r="G196" s="25" t="n"/>
      <c r="H196" s="25" t="n"/>
      <c r="I196" s="25" t="n"/>
    </row>
    <row r="197" ht="15.75" customHeight="1" s="94">
      <c r="C197" s="13" t="n"/>
      <c r="E197" s="25" t="n"/>
      <c r="G197" s="25" t="n"/>
      <c r="H197" s="25" t="n"/>
      <c r="I197" s="25" t="n"/>
    </row>
    <row r="198" ht="15.75" customHeight="1" s="94">
      <c r="C198" s="13" t="n"/>
      <c r="E198" s="25" t="n"/>
      <c r="G198" s="25" t="n"/>
      <c r="H198" s="25" t="n"/>
      <c r="I198" s="25" t="n"/>
    </row>
    <row r="199" ht="15.75" customHeight="1" s="94">
      <c r="C199" s="13" t="n"/>
      <c r="E199" s="25" t="n"/>
      <c r="G199" s="25" t="n"/>
      <c r="H199" s="25" t="n"/>
      <c r="I199" s="25" t="n"/>
    </row>
    <row r="200" ht="15.75" customHeight="1" s="94">
      <c r="C200" s="13" t="n"/>
      <c r="E200" s="25" t="n"/>
      <c r="G200" s="25" t="n"/>
      <c r="H200" s="25" t="n"/>
      <c r="I200" s="25" t="n"/>
    </row>
    <row r="201" ht="15.75" customHeight="1" s="94">
      <c r="C201" s="13" t="n"/>
      <c r="E201" s="25" t="n"/>
      <c r="G201" s="25" t="n"/>
      <c r="H201" s="25" t="n"/>
      <c r="I201" s="25" t="n"/>
    </row>
    <row r="202" ht="15.75" customHeight="1" s="94">
      <c r="C202" s="13" t="n"/>
      <c r="E202" s="25" t="n"/>
      <c r="G202" s="25" t="n"/>
      <c r="H202" s="25" t="n"/>
      <c r="I202" s="25" t="n"/>
    </row>
    <row r="203" ht="15.75" customHeight="1" s="94">
      <c r="C203" s="13" t="n"/>
      <c r="E203" s="25" t="n"/>
      <c r="G203" s="25" t="n"/>
      <c r="H203" s="25" t="n"/>
      <c r="I203" s="25" t="n"/>
    </row>
    <row r="204" ht="15.75" customHeight="1" s="94">
      <c r="C204" s="13" t="n"/>
      <c r="E204" s="25" t="n"/>
      <c r="G204" s="25" t="n"/>
      <c r="H204" s="25" t="n"/>
      <c r="I204" s="25" t="n"/>
    </row>
    <row r="205" ht="15.75" customHeight="1" s="94">
      <c r="C205" s="13" t="n"/>
      <c r="E205" s="25" t="n"/>
      <c r="G205" s="25" t="n"/>
      <c r="H205" s="25" t="n"/>
      <c r="I205" s="25" t="n"/>
    </row>
    <row r="206" ht="15.75" customHeight="1" s="94">
      <c r="C206" s="13" t="n"/>
      <c r="E206" s="25" t="n"/>
      <c r="G206" s="25" t="n"/>
      <c r="H206" s="25" t="n"/>
      <c r="I206" s="25" t="n"/>
    </row>
    <row r="207" ht="15.75" customHeight="1" s="94">
      <c r="C207" s="13" t="n"/>
      <c r="E207" s="25" t="n"/>
      <c r="G207" s="25" t="n"/>
      <c r="H207" s="25" t="n"/>
      <c r="I207" s="25" t="n"/>
    </row>
    <row r="208" ht="15.75" customHeight="1" s="94">
      <c r="C208" s="13" t="n"/>
      <c r="E208" s="25" t="n"/>
      <c r="G208" s="25" t="n"/>
      <c r="H208" s="25" t="n"/>
      <c r="I208" s="25" t="n"/>
    </row>
    <row r="209" ht="15.75" customHeight="1" s="94">
      <c r="C209" s="13" t="n"/>
      <c r="E209" s="25" t="n"/>
      <c r="G209" s="25" t="n"/>
      <c r="H209" s="25" t="n"/>
      <c r="I209" s="25" t="n"/>
    </row>
    <row r="210" ht="15.75" customHeight="1" s="94">
      <c r="C210" s="13" t="n"/>
      <c r="E210" s="25" t="n"/>
      <c r="G210" s="25" t="n"/>
      <c r="H210" s="25" t="n"/>
      <c r="I210" s="25" t="n"/>
    </row>
    <row r="211" ht="15.75" customHeight="1" s="94">
      <c r="C211" s="13" t="n"/>
      <c r="E211" s="25" t="n"/>
      <c r="G211" s="25" t="n"/>
      <c r="H211" s="25" t="n"/>
      <c r="I211" s="25" t="n"/>
    </row>
    <row r="212" ht="15.75" customHeight="1" s="94">
      <c r="C212" s="13" t="n"/>
      <c r="E212" s="25" t="n"/>
      <c r="G212" s="25" t="n"/>
      <c r="H212" s="25" t="n"/>
      <c r="I212" s="25" t="n"/>
    </row>
    <row r="213" ht="15.75" customHeight="1" s="94">
      <c r="C213" s="13" t="n"/>
      <c r="E213" s="25" t="n"/>
      <c r="G213" s="25" t="n"/>
      <c r="H213" s="25" t="n"/>
      <c r="I213" s="25" t="n"/>
    </row>
    <row r="214" ht="15.75" customHeight="1" s="94">
      <c r="C214" s="13" t="n"/>
      <c r="E214" s="25" t="n"/>
      <c r="G214" s="25" t="n"/>
      <c r="H214" s="25" t="n"/>
      <c r="I214" s="25" t="n"/>
    </row>
    <row r="215" ht="15.75" customHeight="1" s="94">
      <c r="C215" s="13" t="n"/>
      <c r="E215" s="25" t="n"/>
      <c r="G215" s="25" t="n"/>
      <c r="H215" s="25" t="n"/>
      <c r="I215" s="25" t="n"/>
    </row>
    <row r="216" ht="15.75" customHeight="1" s="94">
      <c r="C216" s="13" t="n"/>
      <c r="E216" s="25" t="n"/>
      <c r="G216" s="25" t="n"/>
      <c r="H216" s="25" t="n"/>
      <c r="I216" s="25" t="n"/>
    </row>
    <row r="217" ht="15.75" customHeight="1" s="94">
      <c r="C217" s="13" t="n"/>
      <c r="E217" s="25" t="n"/>
      <c r="G217" s="25" t="n"/>
      <c r="H217" s="25" t="n"/>
      <c r="I217" s="25" t="n"/>
    </row>
    <row r="218" ht="15.75" customHeight="1" s="94">
      <c r="C218" s="13" t="n"/>
      <c r="E218" s="25" t="n"/>
      <c r="G218" s="25" t="n"/>
      <c r="H218" s="25" t="n"/>
      <c r="I218" s="25" t="n"/>
    </row>
    <row r="219" ht="15.75" customHeight="1" s="94">
      <c r="C219" s="13" t="n"/>
      <c r="E219" s="25" t="n"/>
      <c r="G219" s="25" t="n"/>
      <c r="H219" s="25" t="n"/>
      <c r="I219" s="25" t="n"/>
    </row>
    <row r="220" ht="15.75" customHeight="1" s="94">
      <c r="C220" s="13" t="n"/>
      <c r="E220" s="25" t="n"/>
      <c r="G220" s="25" t="n"/>
      <c r="H220" s="25" t="n"/>
      <c r="I220" s="25" t="n"/>
    </row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ColWidth="12.63" defaultRowHeight="15" customHeight="1"/>
  <cols>
    <col width="21.88" customWidth="1" style="94" min="1" max="1"/>
    <col width="15.88" customWidth="1" style="94" min="2" max="2"/>
    <col width="31.13" customWidth="1" style="94" min="3" max="3"/>
    <col width="18.75" customWidth="1" style="94" min="4" max="4"/>
    <col width="42.25" customWidth="1" style="94" min="5" max="5"/>
    <col width="16.75" customWidth="1" style="94" min="6" max="6"/>
    <col width="12.88" customWidth="1" style="94" min="7" max="7"/>
    <col width="15" customWidth="1" style="94" min="8" max="8"/>
    <col width="20.88" customWidth="1" style="94" min="9" max="10"/>
    <col width="21.38" customWidth="1" style="94" min="11" max="11"/>
    <col width="15.75" customWidth="1" style="94" min="12" max="12"/>
    <col width="14.38" customWidth="1" style="94" min="13" max="13"/>
    <col width="10.88" customWidth="1" style="94" min="14" max="14"/>
    <col width="8.630000000000001" customWidth="1" style="94" min="15" max="20"/>
  </cols>
  <sheetData>
    <row r="1">
      <c r="A1" s="58" t="inlineStr">
        <is>
          <t>Categoria</t>
        </is>
      </c>
      <c r="B1" s="59" t="inlineStr">
        <is>
          <t>Ticker</t>
        </is>
      </c>
      <c r="C1" s="58" t="inlineStr">
        <is>
          <t>Nome do Ativo / Gestora</t>
        </is>
      </c>
      <c r="D1" s="58" t="inlineStr">
        <is>
          <t>Classe</t>
        </is>
      </c>
      <c r="E1" s="58" t="inlineStr">
        <is>
          <t>Setor</t>
        </is>
      </c>
      <c r="F1" s="58" t="inlineStr">
        <is>
          <t>Valor da Venda</t>
        </is>
      </c>
      <c r="G1" s="60" t="inlineStr">
        <is>
          <t>Preço Posição</t>
        </is>
      </c>
      <c r="H1" s="61" t="inlineStr">
        <is>
          <t>Valorização</t>
        </is>
      </c>
      <c r="I1" s="62" t="inlineStr">
        <is>
          <t>Proventos Recebidos</t>
        </is>
      </c>
      <c r="J1" s="62" t="inlineStr">
        <is>
          <t>Diferença</t>
        </is>
      </c>
      <c r="K1" s="63" t="inlineStr">
        <is>
          <t>Rentabilidade individual</t>
        </is>
      </c>
      <c r="L1" s="63" t="inlineStr">
        <is>
          <t>Preço na Venda</t>
        </is>
      </c>
      <c r="M1" s="64" t="inlineStr">
        <is>
          <t>Preço Médio de Compra</t>
        </is>
      </c>
      <c r="N1" s="65" t="inlineStr">
        <is>
          <t>N Cotas Vendidas</t>
        </is>
      </c>
      <c r="O1" s="65" t="inlineStr">
        <is>
          <t>Mês</t>
        </is>
      </c>
    </row>
    <row r="2">
      <c r="A2" s="66" t="inlineStr">
        <is>
          <t>AÇÕES - COMMODITY</t>
        </is>
      </c>
      <c r="B2" s="67" t="inlineStr">
        <is>
          <t>CBAV3</t>
        </is>
      </c>
      <c r="C2" s="68" t="inlineStr">
        <is>
          <t xml:space="preserve">Companhia Brasileira de Alumínio </t>
        </is>
      </c>
      <c r="D2" s="68" t="inlineStr">
        <is>
          <t>Ações</t>
        </is>
      </c>
      <c r="E2" s="68" t="inlineStr">
        <is>
          <t>Materiais Básicos</t>
        </is>
      </c>
      <c r="F2" s="69" t="n">
        <v>3056.04</v>
      </c>
      <c r="G2" s="70">
        <f>N2*M2</f>
        <v/>
      </c>
      <c r="H2" s="71">
        <f>F2-G2</f>
        <v/>
      </c>
      <c r="I2" s="70" t="n">
        <v>0</v>
      </c>
      <c r="J2" s="71">
        <f>H2+I2</f>
        <v/>
      </c>
      <c r="K2" s="18">
        <f>J2/G2</f>
        <v/>
      </c>
      <c r="L2" s="72">
        <f>F2/N2</f>
        <v/>
      </c>
      <c r="M2" s="72" t="n">
        <v>7.19</v>
      </c>
      <c r="N2" s="73" t="n">
        <v>300</v>
      </c>
      <c r="O2" s="74" t="inlineStr">
        <is>
          <t>Março</t>
        </is>
      </c>
    </row>
    <row r="3" ht="16.5" customHeight="1" s="94">
      <c r="A3" s="75" t="inlineStr">
        <is>
          <t>AÇÕES - SMALL CAP</t>
        </is>
      </c>
      <c r="B3" s="11" t="inlineStr">
        <is>
          <t>BRAV3</t>
        </is>
      </c>
      <c r="C3" s="12" t="inlineStr">
        <is>
          <t>Brava Energia</t>
        </is>
      </c>
      <c r="D3" s="12" t="inlineStr">
        <is>
          <t>Ações</t>
        </is>
      </c>
      <c r="E3" s="12" t="inlineStr">
        <is>
          <t>Petróleo, Gás e Biocombustíveis</t>
        </is>
      </c>
      <c r="F3" s="76">
        <f>675.28+649.39</f>
        <v/>
      </c>
      <c r="G3" s="14">
        <f>N3*M3</f>
        <v/>
      </c>
      <c r="H3" s="77">
        <f>F3-G3</f>
        <v/>
      </c>
      <c r="I3" s="14" t="n">
        <v>0</v>
      </c>
      <c r="J3" s="77">
        <f>H3+I3</f>
        <v/>
      </c>
      <c r="K3" s="18">
        <f>J3/G3</f>
        <v/>
      </c>
      <c r="L3" s="25">
        <f>F3/N3</f>
        <v/>
      </c>
      <c r="M3" s="25" t="n">
        <v>27.65</v>
      </c>
      <c r="N3" s="26" t="n">
        <v>70</v>
      </c>
      <c r="O3" s="78" t="inlineStr">
        <is>
          <t>Março</t>
        </is>
      </c>
      <c r="T3" s="22" t="n"/>
    </row>
    <row r="4" ht="15" customHeight="1" s="94">
      <c r="A4" s="75" t="inlineStr">
        <is>
          <t>AÇÕES - QUALIDADE</t>
        </is>
      </c>
      <c r="B4" s="11" t="inlineStr">
        <is>
          <t>LREN3</t>
        </is>
      </c>
      <c r="C4" s="12" t="inlineStr">
        <is>
          <t>Lojas Renner</t>
        </is>
      </c>
      <c r="D4" s="12" t="inlineStr">
        <is>
          <t>Ações</t>
        </is>
      </c>
      <c r="E4" s="35" t="inlineStr">
        <is>
          <t>Consumo Cíclico</t>
        </is>
      </c>
      <c r="F4" s="76" t="n">
        <v>1208.42</v>
      </c>
      <c r="G4" s="14">
        <f>N4*M4</f>
        <v/>
      </c>
      <c r="H4" s="77">
        <f>F4-G4</f>
        <v/>
      </c>
      <c r="I4" s="17">
        <f>43.03+219.1+63.89</f>
        <v/>
      </c>
      <c r="J4" s="77">
        <f>H4+I4</f>
        <v/>
      </c>
      <c r="K4" s="18">
        <f>J4/G4</f>
        <v/>
      </c>
      <c r="L4" s="25">
        <f>F4/N4</f>
        <v/>
      </c>
      <c r="M4" s="25" t="n">
        <v>11.53</v>
      </c>
      <c r="N4" s="12" t="n">
        <v>80</v>
      </c>
      <c r="O4" s="78" t="inlineStr">
        <is>
          <t>Março</t>
        </is>
      </c>
      <c r="S4" s="26" t="n"/>
    </row>
    <row r="5">
      <c r="A5" s="75" t="inlineStr">
        <is>
          <t>AÇÕES - SMALL CAP</t>
        </is>
      </c>
      <c r="B5" s="11" t="inlineStr">
        <is>
          <t>SBFG3</t>
        </is>
      </c>
      <c r="C5" s="12" t="inlineStr">
        <is>
          <t>Grupo SBF (Centauro)</t>
        </is>
      </c>
      <c r="D5" s="12" t="inlineStr">
        <is>
          <t>Ações</t>
        </is>
      </c>
      <c r="E5" s="12" t="inlineStr">
        <is>
          <t>Consumo Cíclico</t>
        </is>
      </c>
      <c r="F5" s="76" t="n">
        <v>1727.94</v>
      </c>
      <c r="G5" s="14">
        <f>N5*M5</f>
        <v/>
      </c>
      <c r="H5" s="77">
        <f>F5-G5</f>
        <v/>
      </c>
      <c r="I5" s="77" t="n">
        <v>82.25</v>
      </c>
      <c r="J5" s="77">
        <f>H5+I5</f>
        <v/>
      </c>
      <c r="K5" s="18">
        <f>J5/G5</f>
        <v/>
      </c>
      <c r="L5" s="25">
        <f>F5/N5</f>
        <v/>
      </c>
      <c r="M5" s="25" t="n">
        <v>13.71</v>
      </c>
      <c r="N5" s="26" t="n">
        <v>150</v>
      </c>
      <c r="O5" s="78" t="inlineStr">
        <is>
          <t>Março</t>
        </is>
      </c>
    </row>
    <row r="6">
      <c r="A6" s="79" t="inlineStr">
        <is>
          <t>AÇÕES - VALOR</t>
        </is>
      </c>
      <c r="B6" s="11" t="inlineStr">
        <is>
          <t>UGPA3</t>
        </is>
      </c>
      <c r="C6" s="12" t="inlineStr">
        <is>
          <t>Ultrapar Participações S.A.</t>
        </is>
      </c>
      <c r="D6" s="12" t="inlineStr">
        <is>
          <t>Ações</t>
        </is>
      </c>
      <c r="E6" s="12" t="inlineStr">
        <is>
          <t>Consumo Cíclico</t>
        </is>
      </c>
      <c r="F6" s="76" t="n">
        <v>2602.18</v>
      </c>
      <c r="G6" s="14">
        <f>N6*M6</f>
        <v/>
      </c>
      <c r="H6" s="77">
        <f>F6-G6</f>
        <v/>
      </c>
      <c r="I6" s="17">
        <f>62.5+437.54</f>
        <v/>
      </c>
      <c r="J6" s="77">
        <f>H6+I6</f>
        <v/>
      </c>
      <c r="K6" s="18">
        <f>J6/G6</f>
        <v/>
      </c>
      <c r="L6" s="25">
        <f>F6/N6</f>
        <v/>
      </c>
      <c r="M6" s="25" t="n">
        <v>23.47</v>
      </c>
      <c r="N6" s="26" t="n">
        <v>100</v>
      </c>
      <c r="O6" s="78" t="inlineStr">
        <is>
          <t>Março</t>
        </is>
      </c>
    </row>
    <row r="7">
      <c r="A7" s="80" t="inlineStr">
        <is>
          <t>INTERNACIONAL</t>
        </is>
      </c>
      <c r="B7" s="81" t="inlineStr">
        <is>
          <t>M1TA34</t>
        </is>
      </c>
      <c r="C7" s="82" t="inlineStr">
        <is>
          <t>Meta BDR</t>
        </is>
      </c>
      <c r="D7" s="82" t="inlineStr">
        <is>
          <t>BDRs</t>
        </is>
      </c>
      <c r="E7" s="82" t="inlineStr">
        <is>
          <t>Tecnologia da Informação</t>
        </is>
      </c>
      <c r="F7" s="83" t="n">
        <v>2929.83</v>
      </c>
      <c r="G7" s="84">
        <f>N7*M7</f>
        <v/>
      </c>
      <c r="H7" s="85">
        <f>F7-G7</f>
        <v/>
      </c>
      <c r="I7" s="85">
        <f>4.8+7.09+3.4</f>
        <v/>
      </c>
      <c r="J7" s="85">
        <f>H7+I7</f>
        <v/>
      </c>
      <c r="K7" s="86">
        <f>J7/G7</f>
        <v/>
      </c>
      <c r="L7" s="87">
        <f>F7/N7</f>
        <v/>
      </c>
      <c r="M7" s="87" t="n">
        <v>47.13</v>
      </c>
      <c r="N7" s="88" t="n">
        <v>25</v>
      </c>
      <c r="O7" s="89" t="inlineStr">
        <is>
          <t>Março</t>
        </is>
      </c>
    </row>
    <row r="8">
      <c r="A8" s="90" t="inlineStr">
        <is>
          <t>TOTAL</t>
        </is>
      </c>
      <c r="B8" s="91" t="inlineStr">
        <is>
          <t>-</t>
        </is>
      </c>
      <c r="C8" s="91" t="inlineStr">
        <is>
          <t>-</t>
        </is>
      </c>
      <c r="D8" s="91" t="inlineStr">
        <is>
          <t>-</t>
        </is>
      </c>
      <c r="E8" s="91" t="inlineStr">
        <is>
          <t>-</t>
        </is>
      </c>
      <c r="F8" s="92">
        <f>SUM(F2:F7)</f>
        <v/>
      </c>
      <c r="G8" s="92">
        <f>SUM(G2:G7)</f>
        <v/>
      </c>
      <c r="H8" s="93">
        <f>SUM(H2:H7)</f>
        <v/>
      </c>
      <c r="I8" s="93">
        <f>SUM(I2:I7)</f>
        <v/>
      </c>
      <c r="J8" s="93">
        <f>SUM(J2:J7)</f>
        <v/>
      </c>
      <c r="K8" s="45">
        <f>H8/G8</f>
        <v/>
      </c>
      <c r="L8" s="91" t="inlineStr">
        <is>
          <t>-</t>
        </is>
      </c>
      <c r="M8" s="91" t="inlineStr">
        <is>
          <t>-</t>
        </is>
      </c>
      <c r="N8" s="91" t="inlineStr">
        <is>
          <t>-</t>
        </is>
      </c>
      <c r="O8" s="91" t="inlineStr">
        <is>
          <t>-</t>
        </is>
      </c>
    </row>
    <row r="21" ht="15.75" customHeight="1" s="94"/>
    <row r="22" ht="15.75" customHeight="1" s="94"/>
    <row r="23" ht="15.75" customHeight="1" s="94"/>
    <row r="24" ht="15.75" customHeight="1" s="94"/>
    <row r="25" ht="15.75" customHeight="1" s="94"/>
    <row r="26" ht="15.75" customHeight="1" s="94"/>
    <row r="27" ht="15.75" customHeight="1" s="94"/>
    <row r="28" ht="15.75" customHeight="1" s="94"/>
    <row r="29" ht="15.75" customHeight="1" s="94"/>
    <row r="30" ht="15.75" customHeight="1" s="94"/>
    <row r="31" ht="15.75" customHeight="1" s="94"/>
    <row r="32" ht="15.75" customHeight="1" s="94"/>
    <row r="33" ht="15.75" customHeight="1" s="94"/>
    <row r="34" ht="15.75" customHeight="1" s="94"/>
    <row r="35" ht="15.75" customHeight="1" s="94"/>
    <row r="36" ht="15.75" customHeight="1" s="94"/>
    <row r="37" ht="15.75" customHeight="1" s="94"/>
    <row r="38" ht="15.75" customHeight="1" s="94"/>
    <row r="39" ht="15.75" customHeight="1" s="94"/>
    <row r="40" ht="15.75" customHeight="1" s="94"/>
    <row r="41" ht="15.75" customHeight="1" s="94"/>
    <row r="42" ht="15.75" customHeight="1" s="94"/>
    <row r="43" ht="15.75" customHeight="1" s="94"/>
    <row r="44" ht="15.75" customHeight="1" s="94"/>
    <row r="45" ht="15.75" customHeight="1" s="94"/>
    <row r="46" ht="15.75" customHeight="1" s="94"/>
    <row r="47" ht="15.75" customHeight="1" s="94"/>
    <row r="48" ht="15.75" customHeight="1" s="94"/>
    <row r="49" ht="15.75" customHeight="1" s="94"/>
    <row r="50" ht="15.75" customHeight="1" s="94"/>
    <row r="51" ht="15.75" customHeight="1" s="94"/>
    <row r="52" ht="15.75" customHeight="1" s="94"/>
    <row r="53" ht="15.75" customHeight="1" s="94"/>
    <row r="54" ht="15.75" customHeight="1" s="94"/>
    <row r="55" ht="15.75" customHeight="1" s="94"/>
    <row r="56" ht="15.75" customHeight="1" s="94"/>
    <row r="57" ht="15.75" customHeight="1" s="94"/>
    <row r="58" ht="15.75" customHeight="1" s="94"/>
    <row r="59" ht="15.75" customHeight="1" s="94"/>
    <row r="60" ht="15.75" customHeight="1" s="94"/>
    <row r="61" ht="15.75" customHeight="1" s="94"/>
    <row r="62" ht="15.75" customHeight="1" s="94"/>
    <row r="63" ht="15.75" customHeight="1" s="94"/>
    <row r="64" ht="15.75" customHeight="1" s="94"/>
    <row r="65" ht="15.75" customHeight="1" s="94"/>
    <row r="66" ht="15.75" customHeight="1" s="94"/>
    <row r="67" ht="15.75" customHeight="1" s="94"/>
    <row r="68" ht="15.75" customHeight="1" s="94"/>
    <row r="69" ht="15.75" customHeight="1" s="94"/>
    <row r="70" ht="15.75" customHeight="1" s="94"/>
    <row r="71" ht="15.75" customHeight="1" s="94"/>
    <row r="72" ht="15.75" customHeight="1" s="94"/>
    <row r="73" ht="15.75" customHeight="1" s="94"/>
    <row r="74" ht="15.75" customHeight="1" s="94"/>
    <row r="75" ht="15.75" customHeight="1" s="94"/>
    <row r="76" ht="15.75" customHeight="1" s="94"/>
    <row r="77" ht="15.75" customHeight="1" s="94"/>
    <row r="78" ht="15.75" customHeight="1" s="94"/>
    <row r="79" ht="15.75" customHeight="1" s="94"/>
    <row r="80" ht="15.75" customHeight="1" s="94"/>
    <row r="81" ht="15.75" customHeight="1" s="94"/>
    <row r="82" ht="15.75" customHeight="1" s="94"/>
    <row r="83" ht="15.75" customHeight="1" s="94"/>
    <row r="84" ht="15.75" customHeight="1" s="94"/>
    <row r="85" ht="15.75" customHeight="1" s="94"/>
    <row r="86" ht="15.75" customHeight="1" s="94"/>
    <row r="87" ht="15.75" customHeight="1" s="94"/>
    <row r="88" ht="15.75" customHeight="1" s="94"/>
    <row r="89" ht="15.75" customHeight="1" s="94"/>
    <row r="90" ht="15.75" customHeight="1" s="94"/>
    <row r="91" ht="15.75" customHeight="1" s="94"/>
    <row r="92" ht="15.75" customHeight="1" s="94"/>
    <row r="93" ht="15.75" customHeight="1" s="94"/>
    <row r="94" ht="15.75" customHeight="1" s="94"/>
    <row r="95" ht="15.75" customHeight="1" s="94"/>
    <row r="96" ht="15.75" customHeight="1" s="94"/>
    <row r="97" ht="15.75" customHeight="1" s="94"/>
    <row r="98" ht="15.75" customHeight="1" s="94"/>
    <row r="99" ht="15.75" customHeight="1" s="94"/>
    <row r="100" ht="15.75" customHeight="1" s="94"/>
    <row r="101" ht="15.75" customHeight="1" s="94"/>
    <row r="102" ht="15.75" customHeight="1" s="94"/>
    <row r="103" ht="15.75" customHeight="1" s="94"/>
    <row r="104" ht="15.75" customHeight="1" s="94"/>
    <row r="105" ht="15.75" customHeight="1" s="94"/>
    <row r="106" ht="15.75" customHeight="1" s="94"/>
    <row r="107" ht="15.75" customHeight="1" s="94"/>
    <row r="108" ht="15.75" customHeight="1" s="94"/>
    <row r="109" ht="15.75" customHeight="1" s="94"/>
    <row r="110" ht="15.75" customHeight="1" s="94"/>
    <row r="111" ht="15.75" customHeight="1" s="94"/>
    <row r="112" ht="15.75" customHeight="1" s="94"/>
    <row r="113" ht="15.75" customHeight="1" s="94"/>
    <row r="114" ht="15.75" customHeight="1" s="94"/>
    <row r="115" ht="15.75" customHeight="1" s="94"/>
    <row r="116" ht="15.75" customHeight="1" s="94"/>
    <row r="117" ht="15.75" customHeight="1" s="94"/>
    <row r="118" ht="15.75" customHeight="1" s="94"/>
    <row r="119" ht="15.75" customHeight="1" s="94"/>
    <row r="120" ht="15.75" customHeight="1" s="94"/>
    <row r="121" ht="15.75" customHeight="1" s="94"/>
    <row r="122" ht="15.75" customHeight="1" s="94"/>
    <row r="123" ht="15.75" customHeight="1" s="94"/>
    <row r="124" ht="15.75" customHeight="1" s="94"/>
    <row r="125" ht="15.75" customHeight="1" s="94"/>
    <row r="126" ht="15.75" customHeight="1" s="94"/>
    <row r="127" ht="15.75" customHeight="1" s="94"/>
    <row r="128" ht="15.75" customHeight="1" s="94"/>
    <row r="129" ht="15.75" customHeight="1" s="94"/>
    <row r="130" ht="15.75" customHeight="1" s="94"/>
    <row r="131" ht="15.75" customHeight="1" s="94"/>
    <row r="132" ht="15.75" customHeight="1" s="94"/>
    <row r="133" ht="15.75" customHeight="1" s="94"/>
    <row r="134" ht="15.75" customHeight="1" s="94"/>
    <row r="135" ht="15.75" customHeight="1" s="94"/>
    <row r="136" ht="15.75" customHeight="1" s="94"/>
    <row r="137" ht="15.75" customHeight="1" s="94"/>
    <row r="138" ht="15.75" customHeight="1" s="94"/>
    <row r="139" ht="15.75" customHeight="1" s="94"/>
    <row r="140" ht="15.75" customHeight="1" s="94"/>
    <row r="141" ht="15.75" customHeight="1" s="94"/>
    <row r="142" ht="15.75" customHeight="1" s="94"/>
    <row r="143" ht="15.75" customHeight="1" s="94"/>
    <row r="144" ht="15.75" customHeight="1" s="94"/>
    <row r="145" ht="15.75" customHeight="1" s="94"/>
    <row r="146" ht="15.75" customHeight="1" s="94"/>
    <row r="147" ht="15.75" customHeight="1" s="94"/>
    <row r="148" ht="15.75" customHeight="1" s="94"/>
    <row r="149" ht="15.75" customHeight="1" s="94"/>
    <row r="150" ht="15.75" customHeight="1" s="94"/>
    <row r="151" ht="15.75" customHeight="1" s="94"/>
    <row r="152" ht="15.75" customHeight="1" s="94"/>
    <row r="153" ht="15.75" customHeight="1" s="94"/>
    <row r="154" ht="15.75" customHeight="1" s="94"/>
    <row r="155" ht="15.75" customHeight="1" s="94"/>
    <row r="156" ht="15.75" customHeight="1" s="94"/>
    <row r="157" ht="15.75" customHeight="1" s="94"/>
    <row r="158" ht="15.75" customHeight="1" s="94"/>
    <row r="159" ht="15.75" customHeight="1" s="94"/>
    <row r="160" ht="15.75" customHeight="1" s="94"/>
    <row r="161" ht="15.75" customHeight="1" s="94"/>
    <row r="162" ht="15.75" customHeight="1" s="94"/>
    <row r="163" ht="15.75" customHeight="1" s="94"/>
    <row r="164" ht="15.75" customHeight="1" s="94"/>
    <row r="165" ht="15.75" customHeight="1" s="94"/>
    <row r="166" ht="15.75" customHeight="1" s="94"/>
    <row r="167" ht="15.75" customHeight="1" s="94"/>
    <row r="168" ht="15.75" customHeight="1" s="94"/>
    <row r="169" ht="15.75" customHeight="1" s="94"/>
    <row r="170" ht="15.75" customHeight="1" s="94"/>
    <row r="171" ht="15.75" customHeight="1" s="94"/>
    <row r="172" ht="15.75" customHeight="1" s="94"/>
    <row r="173" ht="15.75" customHeight="1" s="94"/>
    <row r="174" ht="15.75" customHeight="1" s="94"/>
    <row r="175" ht="15.75" customHeight="1" s="94"/>
    <row r="176" ht="15.75" customHeight="1" s="94"/>
    <row r="177" ht="15.75" customHeight="1" s="94"/>
    <row r="178" ht="15.75" customHeight="1" s="94"/>
    <row r="179" ht="15.75" customHeight="1" s="94"/>
    <row r="180" ht="15.75" customHeight="1" s="94"/>
    <row r="181" ht="15.75" customHeight="1" s="94"/>
    <row r="182" ht="15.75" customHeight="1" s="94"/>
    <row r="183" ht="15.75" customHeight="1" s="94"/>
    <row r="184" ht="15.75" customHeight="1" s="94"/>
    <row r="185" ht="15.75" customHeight="1" s="94"/>
    <row r="186" ht="15.75" customHeight="1" s="94"/>
    <row r="187" ht="15.75" customHeight="1" s="94"/>
    <row r="188" ht="15.75" customHeight="1" s="94"/>
    <row r="189" ht="15.75" customHeight="1" s="94"/>
    <row r="190" ht="15.75" customHeight="1" s="94"/>
    <row r="191" ht="15.75" customHeight="1" s="94"/>
    <row r="192" ht="15.75" customHeight="1" s="94"/>
    <row r="193" ht="15.75" customHeight="1" s="94"/>
    <row r="194" ht="15.75" customHeight="1" s="94"/>
    <row r="195" ht="15.75" customHeight="1" s="94"/>
    <row r="196" ht="15.75" customHeight="1" s="94"/>
    <row r="197" ht="15.75" customHeight="1" s="94"/>
    <row r="198" ht="15.75" customHeight="1" s="94"/>
    <row r="199" ht="15.75" customHeight="1" s="94"/>
    <row r="200" ht="15.75" customHeight="1" s="94"/>
    <row r="201" ht="15.75" customHeight="1" s="94"/>
    <row r="202" ht="15.75" customHeight="1" s="94"/>
    <row r="203" ht="15.75" customHeight="1" s="94"/>
    <row r="204" ht="15.75" customHeight="1" s="94"/>
    <row r="205" ht="15.75" customHeight="1" s="94"/>
    <row r="206" ht="15.75" customHeight="1" s="94"/>
    <row r="207" ht="15.75" customHeight="1" s="94"/>
    <row r="208" ht="15.75" customHeight="1" s="94"/>
    <row r="209" ht="15.75" customHeight="1" s="94"/>
    <row r="210" ht="15.75" customHeight="1" s="94"/>
    <row r="211" ht="15.75" customHeight="1" s="94"/>
    <row r="212" ht="15.75" customHeight="1" s="94"/>
    <row r="213" ht="15.75" customHeight="1" s="94"/>
    <row r="214" ht="15.75" customHeight="1" s="94"/>
    <row r="215" ht="15.75" customHeight="1" s="94"/>
    <row r="216" ht="15.75" customHeight="1" s="94"/>
    <row r="217" ht="15.75" customHeight="1" s="94"/>
    <row r="218" ht="15.75" customHeight="1" s="94"/>
    <row r="219" ht="15.75" customHeight="1" s="94"/>
    <row r="220" ht="15.75" customHeight="1" s="94"/>
    <row r="221" ht="15.75" customHeight="1" s="94"/>
    <row r="222" ht="15.75" customHeight="1" s="94"/>
    <row r="223" ht="15.75" customHeight="1" s="94"/>
    <row r="224" ht="15.75" customHeight="1" s="94"/>
    <row r="225" ht="15.75" customHeight="1" s="94"/>
    <row r="226" ht="15.75" customHeight="1" s="94"/>
    <row r="227" ht="15.75" customHeight="1" s="94"/>
    <row r="228" ht="15.75" customHeight="1" s="94"/>
    <row r="229" ht="15.75" customHeight="1" s="94"/>
    <row r="230" ht="15.75" customHeight="1" s="94"/>
    <row r="231" ht="15.75" customHeight="1" s="94"/>
    <row r="232" ht="15.75" customHeight="1" s="94"/>
    <row r="233" ht="15.75" customHeight="1" s="94"/>
    <row r="234" ht="15.75" customHeight="1" s="94"/>
    <row r="235" ht="15.75" customHeight="1" s="94"/>
    <row r="236" ht="15.75" customHeight="1" s="94"/>
    <row r="237" ht="15.75" customHeight="1" s="94"/>
    <row r="238" ht="15.75" customHeight="1" s="94"/>
    <row r="239" ht="15.75" customHeight="1" s="94"/>
    <row r="240" ht="15.75" customHeight="1" s="94"/>
    <row r="241" ht="15.75" customHeight="1" s="94"/>
    <row r="242" ht="15.75" customHeight="1" s="94"/>
    <row r="243" ht="15.75" customHeight="1" s="94"/>
    <row r="244" ht="15.75" customHeight="1" s="94"/>
    <row r="245" ht="15.75" customHeight="1" s="94"/>
    <row r="246" ht="15.75" customHeight="1" s="94"/>
    <row r="247" ht="15.75" customHeight="1" s="94"/>
    <row r="248" ht="15.75" customHeight="1" s="94"/>
    <row r="249" ht="15.75" customHeight="1" s="94"/>
    <row r="250" ht="15.75" customHeight="1" s="94"/>
    <row r="251" ht="15.75" customHeight="1" s="94"/>
    <row r="252" ht="15.75" customHeight="1" s="94"/>
    <row r="253" ht="15.75" customHeight="1" s="94"/>
    <row r="254" ht="15.75" customHeight="1" s="94"/>
    <row r="255" ht="15.75" customHeight="1" s="94"/>
    <row r="256" ht="15.75" customHeight="1" s="94"/>
    <row r="257" ht="15.75" customHeight="1" s="94"/>
    <row r="258" ht="15.75" customHeight="1" s="94"/>
    <row r="259" ht="15.75" customHeight="1" s="94"/>
    <row r="260" ht="15.75" customHeight="1" s="94"/>
    <row r="261" ht="15.75" customHeight="1" s="94"/>
    <row r="262" ht="15.75" customHeight="1" s="94"/>
    <row r="263" ht="15.75" customHeight="1" s="94"/>
    <row r="264" ht="15.75" customHeight="1" s="94"/>
    <row r="265" ht="15.75" customHeight="1" s="94"/>
    <row r="266" ht="15.75" customHeight="1" s="94"/>
    <row r="267" ht="15.75" customHeight="1" s="94"/>
    <row r="268" ht="15.75" customHeight="1" s="94"/>
    <row r="269" ht="15.75" customHeight="1" s="94"/>
    <row r="270" ht="15.75" customHeight="1" s="94"/>
    <row r="271" ht="15.75" customHeight="1" s="94"/>
    <row r="272" ht="15.75" customHeight="1" s="94"/>
    <row r="273" ht="15.75" customHeight="1" s="94"/>
    <row r="274" ht="15.75" customHeight="1" s="94"/>
    <row r="275" ht="15.75" customHeight="1" s="94"/>
    <row r="276" ht="15.75" customHeight="1" s="94"/>
    <row r="277" ht="15.75" customHeight="1" s="94"/>
    <row r="278" ht="15.75" customHeight="1" s="94"/>
    <row r="279" ht="15.75" customHeight="1" s="94"/>
    <row r="280" ht="15.75" customHeight="1" s="94"/>
    <row r="281" ht="15.75" customHeight="1" s="94"/>
    <row r="282" ht="15.75" customHeight="1" s="94"/>
    <row r="283" ht="15.75" customHeight="1" s="94"/>
    <row r="284" ht="15.75" customHeight="1" s="94"/>
    <row r="285" ht="15.75" customHeight="1" s="94"/>
    <row r="286" ht="15.75" customHeight="1" s="94"/>
    <row r="287" ht="15.75" customHeight="1" s="94"/>
    <row r="288" ht="15.75" customHeight="1" s="94"/>
    <row r="289" ht="15.75" customHeight="1" s="94"/>
    <row r="290" ht="15.75" customHeight="1" s="94"/>
    <row r="291" ht="15.75" customHeight="1" s="94"/>
    <row r="292" ht="15.75" customHeight="1" s="94"/>
    <row r="293" ht="15.75" customHeight="1" s="94"/>
    <row r="294" ht="15.75" customHeight="1" s="94"/>
    <row r="295" ht="15.75" customHeight="1" s="94"/>
    <row r="296" ht="15.75" customHeight="1" s="94"/>
    <row r="297" ht="15.75" customHeight="1" s="94"/>
    <row r="298" ht="15.75" customHeight="1" s="94"/>
    <row r="299" ht="15.75" customHeight="1" s="94"/>
    <row r="300" ht="15.75" customHeight="1" s="94"/>
    <row r="301" ht="15.75" customHeight="1" s="94"/>
    <row r="302" ht="15.75" customHeight="1" s="94"/>
    <row r="303" ht="15.75" customHeight="1" s="94"/>
    <row r="304" ht="15.75" customHeight="1" s="94"/>
    <row r="305" ht="15.75" customHeight="1" s="94"/>
    <row r="306" ht="15.75" customHeight="1" s="94"/>
    <row r="307" ht="15.75" customHeight="1" s="94"/>
    <row r="308" ht="15.75" customHeight="1" s="94"/>
    <row r="309" ht="15.75" customHeight="1" s="94"/>
    <row r="310" ht="15.75" customHeight="1" s="94"/>
    <row r="311" ht="15.75" customHeight="1" s="94"/>
    <row r="312" ht="15.75" customHeight="1" s="94"/>
    <row r="313" ht="15.75" customHeight="1" s="94"/>
    <row r="314" ht="15.75" customHeight="1" s="94"/>
    <row r="315" ht="15.75" customHeight="1" s="94"/>
    <row r="316" ht="15.75" customHeight="1" s="94"/>
    <row r="317" ht="15.75" customHeight="1" s="94"/>
    <row r="318" ht="15.75" customHeight="1" s="94"/>
    <row r="319" ht="15.75" customHeight="1" s="94"/>
    <row r="320" ht="15.75" customHeight="1" s="94"/>
    <row r="321" ht="15.75" customHeight="1" s="94"/>
    <row r="322" ht="15.75" customHeight="1" s="94"/>
    <row r="323" ht="15.75" customHeight="1" s="94"/>
    <row r="324" ht="15.75" customHeight="1" s="94"/>
    <row r="325" ht="15.75" customHeight="1" s="94"/>
    <row r="326" ht="15.75" customHeight="1" s="94"/>
    <row r="327" ht="15.75" customHeight="1" s="94"/>
    <row r="328" ht="15.75" customHeight="1" s="94"/>
    <row r="329" ht="15.75" customHeight="1" s="94"/>
    <row r="330" ht="15.75" customHeight="1" s="94"/>
    <row r="331" ht="15.75" customHeight="1" s="94"/>
    <row r="332" ht="15.75" customHeight="1" s="94"/>
    <row r="333" ht="15.75" customHeight="1" s="94"/>
    <row r="334" ht="15.75" customHeight="1" s="94"/>
    <row r="335" ht="15.75" customHeight="1" s="94"/>
    <row r="336" ht="15.75" customHeight="1" s="94"/>
    <row r="337" ht="15.75" customHeight="1" s="94"/>
    <row r="338" ht="15.75" customHeight="1" s="94"/>
    <row r="339" ht="15.75" customHeight="1" s="94"/>
    <row r="340" ht="15.75" customHeight="1" s="94"/>
    <row r="341" ht="15.75" customHeight="1" s="94"/>
    <row r="342" ht="15.75" customHeight="1" s="94"/>
    <row r="343" ht="15.75" customHeight="1" s="94"/>
    <row r="344" ht="15.75" customHeight="1" s="94"/>
    <row r="345" ht="15.75" customHeight="1" s="94"/>
    <row r="346" ht="15.75" customHeight="1" s="94"/>
    <row r="347" ht="15.75" customHeight="1" s="94"/>
    <row r="348" ht="15.75" customHeight="1" s="94"/>
    <row r="349" ht="15.75" customHeight="1" s="94"/>
    <row r="350" ht="15.75" customHeight="1" s="94"/>
    <row r="351" ht="15.75" customHeight="1" s="94"/>
    <row r="352" ht="15.75" customHeight="1" s="94"/>
    <row r="353" ht="15.75" customHeight="1" s="94"/>
    <row r="354" ht="15.75" customHeight="1" s="94"/>
    <row r="355" ht="15.75" customHeight="1" s="94"/>
    <row r="356" ht="15.75" customHeight="1" s="94"/>
    <row r="357" ht="15.75" customHeight="1" s="94"/>
    <row r="358" ht="15.75" customHeight="1" s="94"/>
    <row r="359" ht="15.75" customHeight="1" s="94"/>
    <row r="360" ht="15.75" customHeight="1" s="94"/>
    <row r="361" ht="15.75" customHeight="1" s="94"/>
    <row r="362" ht="15.75" customHeight="1" s="94"/>
    <row r="363" ht="15.75" customHeight="1" s="94"/>
    <row r="364" ht="15.75" customHeight="1" s="94"/>
    <row r="365" ht="15.75" customHeight="1" s="94"/>
    <row r="366" ht="15.75" customHeight="1" s="94"/>
    <row r="367" ht="15.75" customHeight="1" s="94"/>
    <row r="368" ht="15.75" customHeight="1" s="94"/>
    <row r="369" ht="15.75" customHeight="1" s="94"/>
    <row r="370" ht="15.75" customHeight="1" s="94"/>
    <row r="371" ht="15.75" customHeight="1" s="94"/>
    <row r="372" ht="15.75" customHeight="1" s="94"/>
    <row r="373" ht="15.75" customHeight="1" s="94"/>
    <row r="374" ht="15.75" customHeight="1" s="94"/>
    <row r="375" ht="15.75" customHeight="1" s="94"/>
    <row r="376" ht="15.75" customHeight="1" s="94"/>
    <row r="377" ht="15.75" customHeight="1" s="94"/>
    <row r="378" ht="15.75" customHeight="1" s="94"/>
    <row r="379" ht="15.75" customHeight="1" s="94"/>
    <row r="380" ht="15.75" customHeight="1" s="94"/>
    <row r="381" ht="15.75" customHeight="1" s="94"/>
    <row r="382" ht="15.75" customHeight="1" s="94"/>
    <row r="383" ht="15.75" customHeight="1" s="94"/>
    <row r="384" ht="15.75" customHeight="1" s="94"/>
    <row r="385" ht="15.75" customHeight="1" s="94"/>
    <row r="386" ht="15.75" customHeight="1" s="94"/>
    <row r="387" ht="15.75" customHeight="1" s="94"/>
    <row r="388" ht="15.75" customHeight="1" s="94"/>
    <row r="389" ht="15.75" customHeight="1" s="94"/>
    <row r="390" ht="15.75" customHeight="1" s="94"/>
    <row r="391" ht="15.75" customHeight="1" s="94"/>
    <row r="392" ht="15.75" customHeight="1" s="94"/>
    <row r="393" ht="15.75" customHeight="1" s="94"/>
    <row r="394" ht="15.75" customHeight="1" s="94"/>
    <row r="395" ht="15.75" customHeight="1" s="94"/>
    <row r="396" ht="15.75" customHeight="1" s="94"/>
    <row r="397" ht="15.75" customHeight="1" s="94"/>
    <row r="398" ht="15.75" customHeight="1" s="94"/>
    <row r="399" ht="15.75" customHeight="1" s="94"/>
    <row r="400" ht="15.75" customHeight="1" s="94"/>
    <row r="401" ht="15.75" customHeight="1" s="94"/>
    <row r="402" ht="15.75" customHeight="1" s="94"/>
    <row r="403" ht="15.75" customHeight="1" s="94"/>
    <row r="404" ht="15.75" customHeight="1" s="94"/>
    <row r="405" ht="15.75" customHeight="1" s="94"/>
    <row r="406" ht="15.75" customHeight="1" s="94"/>
    <row r="407" ht="15.75" customHeight="1" s="94"/>
    <row r="408" ht="15.75" customHeight="1" s="94"/>
    <row r="409" ht="15.75" customHeight="1" s="94"/>
    <row r="410" ht="15.75" customHeight="1" s="94"/>
    <row r="411" ht="15.75" customHeight="1" s="94"/>
    <row r="412" ht="15.75" customHeight="1" s="94"/>
    <row r="413" ht="15.75" customHeight="1" s="94"/>
    <row r="414" ht="15.75" customHeight="1" s="94"/>
    <row r="415" ht="15.75" customHeight="1" s="94"/>
    <row r="416" ht="15.75" customHeight="1" s="94"/>
    <row r="417" ht="15.75" customHeight="1" s="94"/>
    <row r="418" ht="15.75" customHeight="1" s="94"/>
    <row r="419" ht="15.75" customHeight="1" s="94"/>
    <row r="420" ht="15.75" customHeight="1" s="94"/>
    <row r="421" ht="15.75" customHeight="1" s="94"/>
    <row r="422" ht="15.75" customHeight="1" s="94"/>
    <row r="423" ht="15.75" customHeight="1" s="94"/>
    <row r="424" ht="15.75" customHeight="1" s="94"/>
    <row r="425" ht="15.75" customHeight="1" s="94"/>
    <row r="426" ht="15.75" customHeight="1" s="94"/>
    <row r="427" ht="15.75" customHeight="1" s="94"/>
    <row r="428" ht="15.75" customHeight="1" s="94"/>
    <row r="429" ht="15.75" customHeight="1" s="94"/>
    <row r="430" ht="15.75" customHeight="1" s="94"/>
    <row r="431" ht="15.75" customHeight="1" s="94"/>
    <row r="432" ht="15.75" customHeight="1" s="94"/>
    <row r="433" ht="15.75" customHeight="1" s="94"/>
    <row r="434" ht="15.75" customHeight="1" s="94"/>
    <row r="435" ht="15.75" customHeight="1" s="94"/>
    <row r="436" ht="15.75" customHeight="1" s="94"/>
    <row r="437" ht="15.75" customHeight="1" s="94"/>
    <row r="438" ht="15.75" customHeight="1" s="94"/>
    <row r="439" ht="15.75" customHeight="1" s="94"/>
    <row r="440" ht="15.75" customHeight="1" s="94"/>
    <row r="441" ht="15.75" customHeight="1" s="94"/>
    <row r="442" ht="15.75" customHeight="1" s="94"/>
    <row r="443" ht="15.75" customHeight="1" s="94"/>
    <row r="444" ht="15.75" customHeight="1" s="94"/>
    <row r="445" ht="15.75" customHeight="1" s="94"/>
    <row r="446" ht="15.75" customHeight="1" s="94"/>
    <row r="447" ht="15.75" customHeight="1" s="94"/>
    <row r="448" ht="15.75" customHeight="1" s="94"/>
    <row r="449" ht="15.75" customHeight="1" s="94"/>
    <row r="450" ht="15.75" customHeight="1" s="94"/>
    <row r="451" ht="15.75" customHeight="1" s="94"/>
    <row r="452" ht="15.75" customHeight="1" s="94"/>
    <row r="453" ht="15.75" customHeight="1" s="94"/>
    <row r="454" ht="15.75" customHeight="1" s="94"/>
    <row r="455" ht="15.75" customHeight="1" s="94"/>
    <row r="456" ht="15.75" customHeight="1" s="94"/>
    <row r="457" ht="15.75" customHeight="1" s="94"/>
    <row r="458" ht="15.75" customHeight="1" s="94"/>
    <row r="459" ht="15.75" customHeight="1" s="94"/>
    <row r="460" ht="15.75" customHeight="1" s="94"/>
    <row r="461" ht="15.75" customHeight="1" s="94"/>
    <row r="462" ht="15.75" customHeight="1" s="94"/>
    <row r="463" ht="15.75" customHeight="1" s="94"/>
    <row r="464" ht="15.75" customHeight="1" s="94"/>
    <row r="465" ht="15.75" customHeight="1" s="94"/>
    <row r="466" ht="15.75" customHeight="1" s="94"/>
    <row r="467" ht="15.75" customHeight="1" s="94"/>
    <row r="468" ht="15.75" customHeight="1" s="94"/>
    <row r="469" ht="15.75" customHeight="1" s="94"/>
    <row r="470" ht="15.75" customHeight="1" s="94"/>
    <row r="471" ht="15.75" customHeight="1" s="94"/>
    <row r="472" ht="15.75" customHeight="1" s="94"/>
    <row r="473" ht="15.75" customHeight="1" s="94"/>
    <row r="474" ht="15.75" customHeight="1" s="94"/>
    <row r="475" ht="15.75" customHeight="1" s="94"/>
    <row r="476" ht="15.75" customHeight="1" s="94"/>
    <row r="477" ht="15.75" customHeight="1" s="94"/>
    <row r="478" ht="15.75" customHeight="1" s="94"/>
    <row r="479" ht="15.75" customHeight="1" s="94"/>
    <row r="480" ht="15.75" customHeight="1" s="94"/>
    <row r="481" ht="15.75" customHeight="1" s="94"/>
    <row r="482" ht="15.75" customHeight="1" s="94"/>
    <row r="483" ht="15.75" customHeight="1" s="94"/>
    <row r="484" ht="15.75" customHeight="1" s="94"/>
    <row r="485" ht="15.75" customHeight="1" s="94"/>
    <row r="486" ht="15.75" customHeight="1" s="94"/>
    <row r="487" ht="15.75" customHeight="1" s="94"/>
    <row r="488" ht="15.75" customHeight="1" s="94"/>
    <row r="489" ht="15.75" customHeight="1" s="94"/>
    <row r="490" ht="15.75" customHeight="1" s="94"/>
    <row r="491" ht="15.75" customHeight="1" s="94"/>
    <row r="492" ht="15.75" customHeight="1" s="94"/>
    <row r="493" ht="15.75" customHeight="1" s="94"/>
    <row r="494" ht="15.75" customHeight="1" s="94"/>
    <row r="495" ht="15.75" customHeight="1" s="94"/>
    <row r="496" ht="15.75" customHeight="1" s="94"/>
    <row r="497" ht="15.75" customHeight="1" s="94"/>
    <row r="498" ht="15.75" customHeight="1" s="94"/>
    <row r="499" ht="15.75" customHeight="1" s="94"/>
    <row r="500" ht="15.75" customHeight="1" s="94"/>
    <row r="501" ht="15.75" customHeight="1" s="94"/>
    <row r="502" ht="15.75" customHeight="1" s="94"/>
    <row r="503" ht="15.75" customHeight="1" s="94"/>
    <row r="504" ht="15.75" customHeight="1" s="94"/>
    <row r="505" ht="15.75" customHeight="1" s="94"/>
    <row r="506" ht="15.75" customHeight="1" s="94"/>
    <row r="507" ht="15.75" customHeight="1" s="94"/>
    <row r="508" ht="15.75" customHeight="1" s="94"/>
    <row r="509" ht="15.75" customHeight="1" s="94"/>
    <row r="510" ht="15.75" customHeight="1" s="94"/>
    <row r="511" ht="15.75" customHeight="1" s="94"/>
    <row r="512" ht="15.75" customHeight="1" s="94"/>
    <row r="513" ht="15.75" customHeight="1" s="94"/>
    <row r="514" ht="15.75" customHeight="1" s="94"/>
    <row r="515" ht="15.75" customHeight="1" s="94"/>
    <row r="516" ht="15.75" customHeight="1" s="94"/>
    <row r="517" ht="15.75" customHeight="1" s="94"/>
    <row r="518" ht="15.75" customHeight="1" s="94"/>
    <row r="519" ht="15.75" customHeight="1" s="94"/>
    <row r="520" ht="15.75" customHeight="1" s="94"/>
    <row r="521" ht="15.75" customHeight="1" s="94"/>
    <row r="522" ht="15.75" customHeight="1" s="94"/>
    <row r="523" ht="15.75" customHeight="1" s="94"/>
    <row r="524" ht="15.75" customHeight="1" s="94"/>
    <row r="525" ht="15.75" customHeight="1" s="94"/>
    <row r="526" ht="15.75" customHeight="1" s="94"/>
    <row r="527" ht="15.75" customHeight="1" s="94"/>
    <row r="528" ht="15.75" customHeight="1" s="94"/>
    <row r="529" ht="15.75" customHeight="1" s="94"/>
    <row r="530" ht="15.75" customHeight="1" s="94"/>
    <row r="531" ht="15.75" customHeight="1" s="94"/>
    <row r="532" ht="15.75" customHeight="1" s="94"/>
    <row r="533" ht="15.75" customHeight="1" s="94"/>
    <row r="534" ht="15.75" customHeight="1" s="94"/>
    <row r="535" ht="15.75" customHeight="1" s="94"/>
    <row r="536" ht="15.75" customHeight="1" s="94"/>
    <row r="537" ht="15.75" customHeight="1" s="94"/>
    <row r="538" ht="15.75" customHeight="1" s="94"/>
    <row r="539" ht="15.75" customHeight="1" s="94"/>
    <row r="540" ht="15.75" customHeight="1" s="94"/>
    <row r="541" ht="15.75" customHeight="1" s="94"/>
    <row r="542" ht="15.75" customHeight="1" s="94"/>
    <row r="543" ht="15.75" customHeight="1" s="94"/>
    <row r="544" ht="15.75" customHeight="1" s="94"/>
    <row r="545" ht="15.75" customHeight="1" s="94"/>
    <row r="546" ht="15.75" customHeight="1" s="94"/>
    <row r="547" ht="15.75" customHeight="1" s="94"/>
    <row r="548" ht="15.75" customHeight="1" s="94"/>
    <row r="549" ht="15.75" customHeight="1" s="94"/>
    <row r="550" ht="15.75" customHeight="1" s="94"/>
    <row r="551" ht="15.75" customHeight="1" s="94"/>
    <row r="552" ht="15.75" customHeight="1" s="94"/>
    <row r="553" ht="15.75" customHeight="1" s="94"/>
    <row r="554" ht="15.75" customHeight="1" s="94"/>
    <row r="555" ht="15.75" customHeight="1" s="94"/>
    <row r="556" ht="15.75" customHeight="1" s="94"/>
    <row r="557" ht="15.75" customHeight="1" s="94"/>
    <row r="558" ht="15.75" customHeight="1" s="94"/>
    <row r="559" ht="15.75" customHeight="1" s="94"/>
    <row r="560" ht="15.75" customHeight="1" s="94"/>
    <row r="561" ht="15.75" customHeight="1" s="94"/>
    <row r="562" ht="15.75" customHeight="1" s="94"/>
    <row r="563" ht="15.75" customHeight="1" s="94"/>
    <row r="564" ht="15.75" customHeight="1" s="94"/>
    <row r="565" ht="15.75" customHeight="1" s="94"/>
    <row r="566" ht="15.75" customHeight="1" s="94"/>
    <row r="567" ht="15.75" customHeight="1" s="94"/>
    <row r="568" ht="15.75" customHeight="1" s="94"/>
    <row r="569" ht="15.75" customHeight="1" s="94"/>
    <row r="570" ht="15.75" customHeight="1" s="94"/>
    <row r="571" ht="15.75" customHeight="1" s="94"/>
    <row r="572" ht="15.75" customHeight="1" s="94"/>
    <row r="573" ht="15.75" customHeight="1" s="94"/>
    <row r="574" ht="15.75" customHeight="1" s="94"/>
    <row r="575" ht="15.75" customHeight="1" s="94"/>
    <row r="576" ht="15.75" customHeight="1" s="94"/>
    <row r="577" ht="15.75" customHeight="1" s="94"/>
    <row r="578" ht="15.75" customHeight="1" s="94"/>
    <row r="579" ht="15.75" customHeight="1" s="94"/>
    <row r="580" ht="15.75" customHeight="1" s="94"/>
    <row r="581" ht="15.75" customHeight="1" s="94"/>
    <row r="582" ht="15.75" customHeight="1" s="94"/>
    <row r="583" ht="15.75" customHeight="1" s="94"/>
    <row r="584" ht="15.75" customHeight="1" s="94"/>
    <row r="585" ht="15.75" customHeight="1" s="94"/>
    <row r="586" ht="15.75" customHeight="1" s="94"/>
    <row r="587" ht="15.75" customHeight="1" s="94"/>
    <row r="588" ht="15.75" customHeight="1" s="94"/>
    <row r="589" ht="15.75" customHeight="1" s="94"/>
    <row r="590" ht="15.75" customHeight="1" s="94"/>
    <row r="591" ht="15.75" customHeight="1" s="94"/>
    <row r="592" ht="15.75" customHeight="1" s="94"/>
    <row r="593" ht="15.75" customHeight="1" s="94"/>
    <row r="594" ht="15.75" customHeight="1" s="94"/>
    <row r="595" ht="15.75" customHeight="1" s="94"/>
    <row r="596" ht="15.75" customHeight="1" s="94"/>
    <row r="597" ht="15.75" customHeight="1" s="94"/>
    <row r="598" ht="15.75" customHeight="1" s="94"/>
    <row r="599" ht="15.75" customHeight="1" s="94"/>
    <row r="600" ht="15.75" customHeight="1" s="94"/>
    <row r="601" ht="15.75" customHeight="1" s="94"/>
    <row r="602" ht="15.75" customHeight="1" s="94"/>
    <row r="603" ht="15.75" customHeight="1" s="94"/>
    <row r="604" ht="15.75" customHeight="1" s="94"/>
    <row r="605" ht="15.75" customHeight="1" s="94"/>
    <row r="606" ht="15.75" customHeight="1" s="94"/>
    <row r="607" ht="15.75" customHeight="1" s="94"/>
    <row r="608" ht="15.75" customHeight="1" s="94"/>
    <row r="609" ht="15.75" customHeight="1" s="94"/>
    <row r="610" ht="15.75" customHeight="1" s="94"/>
    <row r="611" ht="15.75" customHeight="1" s="94"/>
    <row r="612" ht="15.75" customHeight="1" s="94"/>
    <row r="613" ht="15.75" customHeight="1" s="94"/>
    <row r="614" ht="15.75" customHeight="1" s="94"/>
    <row r="615" ht="15.75" customHeight="1" s="94"/>
    <row r="616" ht="15.75" customHeight="1" s="94"/>
    <row r="617" ht="15.75" customHeight="1" s="94"/>
    <row r="618" ht="15.75" customHeight="1" s="94"/>
    <row r="619" ht="15.75" customHeight="1" s="94"/>
    <row r="620" ht="15.75" customHeight="1" s="94"/>
    <row r="621" ht="15.75" customHeight="1" s="94"/>
    <row r="622" ht="15.75" customHeight="1" s="94"/>
    <row r="623" ht="15.75" customHeight="1" s="94"/>
    <row r="624" ht="15.75" customHeight="1" s="94"/>
    <row r="625" ht="15.75" customHeight="1" s="94"/>
    <row r="626" ht="15.75" customHeight="1" s="94"/>
    <row r="627" ht="15.75" customHeight="1" s="94"/>
    <row r="628" ht="15.75" customHeight="1" s="94"/>
    <row r="629" ht="15.75" customHeight="1" s="94"/>
    <row r="630" ht="15.75" customHeight="1" s="94"/>
    <row r="631" ht="15.75" customHeight="1" s="94"/>
    <row r="632" ht="15.75" customHeight="1" s="94"/>
    <row r="633" ht="15.75" customHeight="1" s="94"/>
    <row r="634" ht="15.75" customHeight="1" s="94"/>
    <row r="635" ht="15.75" customHeight="1" s="94"/>
    <row r="636" ht="15.75" customHeight="1" s="94"/>
    <row r="637" ht="15.75" customHeight="1" s="94"/>
    <row r="638" ht="15.75" customHeight="1" s="94"/>
    <row r="639" ht="15.75" customHeight="1" s="94"/>
    <row r="640" ht="15.75" customHeight="1" s="94"/>
    <row r="641" ht="15.75" customHeight="1" s="94"/>
    <row r="642" ht="15.75" customHeight="1" s="94"/>
    <row r="643" ht="15.75" customHeight="1" s="94"/>
    <row r="644" ht="15.75" customHeight="1" s="94"/>
    <row r="645" ht="15.75" customHeight="1" s="94"/>
    <row r="646" ht="15.75" customHeight="1" s="94"/>
    <row r="647" ht="15.75" customHeight="1" s="94"/>
    <row r="648" ht="15.75" customHeight="1" s="94"/>
    <row r="649" ht="15.75" customHeight="1" s="94"/>
    <row r="650" ht="15.75" customHeight="1" s="94"/>
    <row r="651" ht="15.75" customHeight="1" s="94"/>
    <row r="652" ht="15.75" customHeight="1" s="94"/>
    <row r="653" ht="15.75" customHeight="1" s="94"/>
    <row r="654" ht="15.75" customHeight="1" s="94"/>
    <row r="655" ht="15.75" customHeight="1" s="94"/>
    <row r="656" ht="15.75" customHeight="1" s="94"/>
    <row r="657" ht="15.75" customHeight="1" s="94"/>
    <row r="658" ht="15.75" customHeight="1" s="94"/>
    <row r="659" ht="15.75" customHeight="1" s="94"/>
    <row r="660" ht="15.75" customHeight="1" s="94"/>
    <row r="661" ht="15.75" customHeight="1" s="94"/>
    <row r="662" ht="15.75" customHeight="1" s="94"/>
    <row r="663" ht="15.75" customHeight="1" s="94"/>
    <row r="664" ht="15.75" customHeight="1" s="94"/>
    <row r="665" ht="15.75" customHeight="1" s="94"/>
    <row r="666" ht="15.75" customHeight="1" s="94"/>
    <row r="667" ht="15.75" customHeight="1" s="94"/>
    <row r="668" ht="15.75" customHeight="1" s="94"/>
    <row r="669" ht="15.75" customHeight="1" s="94"/>
    <row r="670" ht="15.75" customHeight="1" s="94"/>
    <row r="671" ht="15.75" customHeight="1" s="94"/>
    <row r="672" ht="15.75" customHeight="1" s="94"/>
    <row r="673" ht="15.75" customHeight="1" s="94"/>
    <row r="674" ht="15.75" customHeight="1" s="94"/>
    <row r="675" ht="15.75" customHeight="1" s="94"/>
    <row r="676" ht="15.75" customHeight="1" s="94"/>
    <row r="677" ht="15.75" customHeight="1" s="94"/>
    <row r="678" ht="15.75" customHeight="1" s="94"/>
    <row r="679" ht="15.75" customHeight="1" s="94"/>
    <row r="680" ht="15.75" customHeight="1" s="94"/>
    <row r="681" ht="15.75" customHeight="1" s="94"/>
    <row r="682" ht="15.75" customHeight="1" s="94"/>
    <row r="683" ht="15.75" customHeight="1" s="94"/>
    <row r="684" ht="15.75" customHeight="1" s="94"/>
    <row r="685" ht="15.75" customHeight="1" s="94"/>
    <row r="686" ht="15.75" customHeight="1" s="94"/>
    <row r="687" ht="15.75" customHeight="1" s="94"/>
    <row r="688" ht="15.75" customHeight="1" s="94"/>
    <row r="689" ht="15.75" customHeight="1" s="94"/>
    <row r="690" ht="15.75" customHeight="1" s="94"/>
    <row r="691" ht="15.75" customHeight="1" s="94"/>
    <row r="692" ht="15.75" customHeight="1" s="94"/>
    <row r="693" ht="15.75" customHeight="1" s="94"/>
    <row r="694" ht="15.75" customHeight="1" s="94"/>
    <row r="695" ht="15.75" customHeight="1" s="94"/>
    <row r="696" ht="15.75" customHeight="1" s="94"/>
    <row r="697" ht="15.75" customHeight="1" s="94"/>
    <row r="698" ht="15.75" customHeight="1" s="94"/>
    <row r="699" ht="15.75" customHeight="1" s="94"/>
    <row r="700" ht="15.75" customHeight="1" s="94"/>
    <row r="701" ht="15.75" customHeight="1" s="94"/>
    <row r="702" ht="15.75" customHeight="1" s="94"/>
    <row r="703" ht="15.75" customHeight="1" s="94"/>
    <row r="704" ht="15.75" customHeight="1" s="94"/>
    <row r="705" ht="15.75" customHeight="1" s="94"/>
    <row r="706" ht="15.75" customHeight="1" s="94"/>
    <row r="707" ht="15.75" customHeight="1" s="94"/>
    <row r="708" ht="15.75" customHeight="1" s="94"/>
    <row r="709" ht="15.75" customHeight="1" s="94"/>
    <row r="710" ht="15.75" customHeight="1" s="94"/>
    <row r="711" ht="15.75" customHeight="1" s="94"/>
    <row r="712" ht="15.75" customHeight="1" s="94"/>
    <row r="713" ht="15.75" customHeight="1" s="94"/>
    <row r="714" ht="15.75" customHeight="1" s="94"/>
    <row r="715" ht="15.75" customHeight="1" s="94"/>
    <row r="716" ht="15.75" customHeight="1" s="94"/>
    <row r="717" ht="15.75" customHeight="1" s="94"/>
    <row r="718" ht="15.75" customHeight="1" s="94"/>
    <row r="719" ht="15.75" customHeight="1" s="94"/>
    <row r="720" ht="15.75" customHeight="1" s="94"/>
    <row r="721" ht="15.75" customHeight="1" s="94"/>
    <row r="722" ht="15.75" customHeight="1" s="94"/>
    <row r="723" ht="15.75" customHeight="1" s="94"/>
    <row r="724" ht="15.75" customHeight="1" s="94"/>
    <row r="725" ht="15.75" customHeight="1" s="94"/>
    <row r="726" ht="15.75" customHeight="1" s="94"/>
    <row r="727" ht="15.75" customHeight="1" s="94"/>
    <row r="728" ht="15.75" customHeight="1" s="94"/>
    <row r="729" ht="15.75" customHeight="1" s="94"/>
    <row r="730" ht="15.75" customHeight="1" s="94"/>
    <row r="731" ht="15.75" customHeight="1" s="94"/>
    <row r="732" ht="15.75" customHeight="1" s="94"/>
    <row r="733" ht="15.75" customHeight="1" s="94"/>
    <row r="734" ht="15.75" customHeight="1" s="94"/>
    <row r="735" ht="15.75" customHeight="1" s="94"/>
    <row r="736" ht="15.75" customHeight="1" s="94"/>
    <row r="737" ht="15.75" customHeight="1" s="94"/>
    <row r="738" ht="15.75" customHeight="1" s="94"/>
    <row r="739" ht="15.75" customHeight="1" s="94"/>
    <row r="740" ht="15.75" customHeight="1" s="94"/>
    <row r="741" ht="15.75" customHeight="1" s="94"/>
    <row r="742" ht="15.75" customHeight="1" s="94"/>
    <row r="743" ht="15.75" customHeight="1" s="94"/>
    <row r="744" ht="15.75" customHeight="1" s="94"/>
    <row r="745" ht="15.75" customHeight="1" s="94"/>
    <row r="746" ht="15.75" customHeight="1" s="94"/>
    <row r="747" ht="15.75" customHeight="1" s="94"/>
    <row r="748" ht="15.75" customHeight="1" s="94"/>
    <row r="749" ht="15.75" customHeight="1" s="94"/>
    <row r="750" ht="15.75" customHeight="1" s="94"/>
    <row r="751" ht="15.75" customHeight="1" s="94"/>
    <row r="752" ht="15.75" customHeight="1" s="94"/>
    <row r="753" ht="15.75" customHeight="1" s="94"/>
    <row r="754" ht="15.75" customHeight="1" s="94"/>
    <row r="755" ht="15.75" customHeight="1" s="94"/>
    <row r="756" ht="15.75" customHeight="1" s="94"/>
    <row r="757" ht="15.75" customHeight="1" s="94"/>
    <row r="758" ht="15.75" customHeight="1" s="94"/>
    <row r="759" ht="15.75" customHeight="1" s="94"/>
    <row r="760" ht="15.75" customHeight="1" s="94"/>
    <row r="761" ht="15.75" customHeight="1" s="94"/>
    <row r="762" ht="15.75" customHeight="1" s="94"/>
    <row r="763" ht="15.75" customHeight="1" s="94"/>
    <row r="764" ht="15.75" customHeight="1" s="94"/>
    <row r="765" ht="15.75" customHeight="1" s="94"/>
    <row r="766" ht="15.75" customHeight="1" s="94"/>
    <row r="767" ht="15.75" customHeight="1" s="94"/>
    <row r="768" ht="15.75" customHeight="1" s="94"/>
    <row r="769" ht="15.75" customHeight="1" s="94"/>
    <row r="770" ht="15.75" customHeight="1" s="94"/>
    <row r="771" ht="15.75" customHeight="1" s="94"/>
    <row r="772" ht="15.75" customHeight="1" s="94"/>
    <row r="773" ht="15.75" customHeight="1" s="94"/>
    <row r="774" ht="15.75" customHeight="1" s="94"/>
    <row r="775" ht="15.75" customHeight="1" s="94"/>
    <row r="776" ht="15.75" customHeight="1" s="94"/>
    <row r="777" ht="15.75" customHeight="1" s="94"/>
    <row r="778" ht="15.75" customHeight="1" s="94"/>
    <row r="779" ht="15.75" customHeight="1" s="94"/>
    <row r="780" ht="15.75" customHeight="1" s="94"/>
    <row r="781" ht="15.75" customHeight="1" s="94"/>
    <row r="782" ht="15.75" customHeight="1" s="94"/>
    <row r="783" ht="15.75" customHeight="1" s="94"/>
    <row r="784" ht="15.75" customHeight="1" s="94"/>
    <row r="785" ht="15.75" customHeight="1" s="94"/>
    <row r="786" ht="15.75" customHeight="1" s="94"/>
    <row r="787" ht="15.75" customHeight="1" s="94"/>
    <row r="788" ht="15.75" customHeight="1" s="94"/>
    <row r="789" ht="15.75" customHeight="1" s="94"/>
    <row r="790" ht="15.75" customHeight="1" s="94"/>
    <row r="791" ht="15.75" customHeight="1" s="94"/>
    <row r="792" ht="15.75" customHeight="1" s="94"/>
    <row r="793" ht="15.75" customHeight="1" s="94"/>
    <row r="794" ht="15.75" customHeight="1" s="94"/>
    <row r="795" ht="15.75" customHeight="1" s="94"/>
    <row r="796" ht="15.75" customHeight="1" s="94"/>
    <row r="797" ht="15.75" customHeight="1" s="94"/>
    <row r="798" ht="15.75" customHeight="1" s="94"/>
    <row r="799" ht="15.75" customHeight="1" s="94"/>
    <row r="800" ht="15.75" customHeight="1" s="94"/>
    <row r="801" ht="15.75" customHeight="1" s="94"/>
    <row r="802" ht="15.75" customHeight="1" s="94"/>
    <row r="803" ht="15.75" customHeight="1" s="94"/>
    <row r="804" ht="15.75" customHeight="1" s="94"/>
    <row r="805" ht="15.75" customHeight="1" s="94"/>
    <row r="806" ht="15.75" customHeight="1" s="94"/>
    <row r="807" ht="15.75" customHeight="1" s="94"/>
    <row r="808" ht="15.75" customHeight="1" s="94"/>
    <row r="809" ht="15.75" customHeight="1" s="94"/>
    <row r="810" ht="15.75" customHeight="1" s="94"/>
    <row r="811" ht="15.75" customHeight="1" s="94"/>
    <row r="812" ht="15.75" customHeight="1" s="94"/>
    <row r="813" ht="15.75" customHeight="1" s="94"/>
    <row r="814" ht="15.75" customHeight="1" s="94"/>
    <row r="815" ht="15.75" customHeight="1" s="94"/>
    <row r="816" ht="15.75" customHeight="1" s="94"/>
    <row r="817" ht="15.75" customHeight="1" s="94"/>
    <row r="818" ht="15.75" customHeight="1" s="94"/>
    <row r="819" ht="15.75" customHeight="1" s="94"/>
    <row r="820" ht="15.75" customHeight="1" s="94"/>
    <row r="821" ht="15.75" customHeight="1" s="94"/>
    <row r="822" ht="15.75" customHeight="1" s="94"/>
    <row r="823" ht="15.75" customHeight="1" s="94"/>
    <row r="824" ht="15.75" customHeight="1" s="94"/>
    <row r="825" ht="15.75" customHeight="1" s="94"/>
    <row r="826" ht="15.75" customHeight="1" s="94"/>
    <row r="827" ht="15.75" customHeight="1" s="94"/>
    <row r="828" ht="15.75" customHeight="1" s="94"/>
    <row r="829" ht="15.75" customHeight="1" s="94"/>
    <row r="830" ht="15.75" customHeight="1" s="94"/>
    <row r="831" ht="15.75" customHeight="1" s="94"/>
    <row r="832" ht="15.75" customHeight="1" s="94"/>
    <row r="833" ht="15.75" customHeight="1" s="94"/>
    <row r="834" ht="15.75" customHeight="1" s="94"/>
    <row r="835" ht="15.75" customHeight="1" s="94"/>
    <row r="836" ht="15.75" customHeight="1" s="94"/>
    <row r="837" ht="15.75" customHeight="1" s="94"/>
    <row r="838" ht="15.75" customHeight="1" s="94"/>
    <row r="839" ht="15.75" customHeight="1" s="94"/>
    <row r="840" ht="15.75" customHeight="1" s="94"/>
    <row r="841" ht="15.75" customHeight="1" s="94"/>
    <row r="842" ht="15.75" customHeight="1" s="94"/>
    <row r="843" ht="15.75" customHeight="1" s="94"/>
    <row r="844" ht="15.75" customHeight="1" s="94"/>
    <row r="845" ht="15.75" customHeight="1" s="94"/>
    <row r="846" ht="15.75" customHeight="1" s="94"/>
    <row r="847" ht="15.75" customHeight="1" s="94"/>
    <row r="848" ht="15.75" customHeight="1" s="94"/>
    <row r="849" ht="15.75" customHeight="1" s="94"/>
    <row r="850" ht="15.75" customHeight="1" s="94"/>
    <row r="851" ht="15.75" customHeight="1" s="94"/>
    <row r="852" ht="15.75" customHeight="1" s="94"/>
    <row r="853" ht="15.75" customHeight="1" s="94"/>
    <row r="854" ht="15.75" customHeight="1" s="94"/>
    <row r="855" ht="15.75" customHeight="1" s="94"/>
    <row r="856" ht="15.75" customHeight="1" s="94"/>
    <row r="857" ht="15.75" customHeight="1" s="94"/>
    <row r="858" ht="15.75" customHeight="1" s="94"/>
    <row r="859" ht="15.75" customHeight="1" s="94"/>
    <row r="860" ht="15.75" customHeight="1" s="94"/>
    <row r="861" ht="15.75" customHeight="1" s="94"/>
    <row r="862" ht="15.75" customHeight="1" s="94"/>
    <row r="863" ht="15.75" customHeight="1" s="94"/>
    <row r="864" ht="15.75" customHeight="1" s="94"/>
    <row r="865" ht="15.75" customHeight="1" s="94"/>
    <row r="866" ht="15.75" customHeight="1" s="94"/>
    <row r="867" ht="15.75" customHeight="1" s="94"/>
    <row r="868" ht="15.75" customHeight="1" s="94"/>
    <row r="869" ht="15.75" customHeight="1" s="94"/>
    <row r="870" ht="15.75" customHeight="1" s="94"/>
    <row r="871" ht="15.75" customHeight="1" s="94"/>
    <row r="872" ht="15.75" customHeight="1" s="94"/>
    <row r="873" ht="15.75" customHeight="1" s="94"/>
    <row r="874" ht="15.75" customHeight="1" s="94"/>
    <row r="875" ht="15.75" customHeight="1" s="94"/>
    <row r="876" ht="15.75" customHeight="1" s="94"/>
    <row r="877" ht="15.75" customHeight="1" s="94"/>
    <row r="878" ht="15.75" customHeight="1" s="94"/>
    <row r="879" ht="15.75" customHeight="1" s="94"/>
    <row r="880" ht="15.75" customHeight="1" s="94"/>
    <row r="881" ht="15.75" customHeight="1" s="94"/>
    <row r="882" ht="15.75" customHeight="1" s="94"/>
    <row r="883" ht="15.75" customHeight="1" s="94"/>
    <row r="884" ht="15.75" customHeight="1" s="94"/>
    <row r="885" ht="15.75" customHeight="1" s="94"/>
    <row r="886" ht="15.75" customHeight="1" s="94"/>
    <row r="887" ht="15.75" customHeight="1" s="94"/>
    <row r="888" ht="15.75" customHeight="1" s="94"/>
    <row r="889" ht="15.75" customHeight="1" s="94"/>
    <row r="890" ht="15.75" customHeight="1" s="94"/>
    <row r="891" ht="15.75" customHeight="1" s="94"/>
    <row r="892" ht="15.75" customHeight="1" s="94"/>
    <row r="893" ht="15.75" customHeight="1" s="94"/>
    <row r="894" ht="15.75" customHeight="1" s="94"/>
    <row r="895" ht="15.75" customHeight="1" s="94"/>
    <row r="896" ht="15.75" customHeight="1" s="94"/>
    <row r="897" ht="15.75" customHeight="1" s="94"/>
    <row r="898" ht="15.75" customHeight="1" s="94"/>
    <row r="899" ht="15.75" customHeight="1" s="94"/>
    <row r="900" ht="15.75" customHeight="1" s="94"/>
    <row r="901" ht="15.75" customHeight="1" s="94"/>
    <row r="902" ht="15.75" customHeight="1" s="94"/>
    <row r="903" ht="15.75" customHeight="1" s="94"/>
    <row r="904" ht="15.75" customHeight="1" s="94"/>
    <row r="905" ht="15.75" customHeight="1" s="94"/>
    <row r="906" ht="15.75" customHeight="1" s="94"/>
    <row r="907" ht="15.75" customHeight="1" s="94"/>
    <row r="908" ht="15.75" customHeight="1" s="94"/>
    <row r="909" ht="15.75" customHeight="1" s="94"/>
    <row r="910" ht="15.75" customHeight="1" s="94"/>
    <row r="911" ht="15.75" customHeight="1" s="94"/>
    <row r="912" ht="15.75" customHeight="1" s="94"/>
    <row r="913" ht="15.75" customHeight="1" s="94"/>
    <row r="914" ht="15.75" customHeight="1" s="94"/>
    <row r="915" ht="15.75" customHeight="1" s="94"/>
    <row r="916" ht="15.75" customHeight="1" s="94"/>
    <row r="917" ht="15.75" customHeight="1" s="94"/>
    <row r="918" ht="15.75" customHeight="1" s="94"/>
    <row r="919" ht="15.75" customHeight="1" s="94"/>
    <row r="920" ht="15.75" customHeight="1" s="94"/>
    <row r="921" ht="15.75" customHeight="1" s="94"/>
    <row r="922" ht="15.75" customHeight="1" s="94"/>
    <row r="923" ht="15.75" customHeight="1" s="94"/>
    <row r="924" ht="15.75" customHeight="1" s="94"/>
    <row r="925" ht="15.75" customHeight="1" s="94"/>
    <row r="926" ht="15.75" customHeight="1" s="94"/>
    <row r="927" ht="15.75" customHeight="1" s="94"/>
    <row r="928" ht="15.75" customHeight="1" s="94"/>
    <row r="929" ht="15.75" customHeight="1" s="94"/>
    <row r="930" ht="15.75" customHeight="1" s="94"/>
    <row r="931" ht="15.75" customHeight="1" s="94"/>
    <row r="932" ht="15.75" customHeight="1" s="94"/>
    <row r="933" ht="15.75" customHeight="1" s="94"/>
    <row r="934" ht="15.75" customHeight="1" s="94"/>
    <row r="935" ht="15.75" customHeight="1" s="94"/>
    <row r="936" ht="15.75" customHeight="1" s="94"/>
    <row r="937" ht="15.75" customHeight="1" s="94"/>
    <row r="938" ht="15.75" customHeight="1" s="94"/>
    <row r="939" ht="15.75" customHeight="1" s="94"/>
    <row r="940" ht="15.75" customHeight="1" s="94"/>
    <row r="941" ht="15.75" customHeight="1" s="94"/>
    <row r="942" ht="15.75" customHeight="1" s="94"/>
    <row r="943" ht="15.75" customHeight="1" s="94"/>
    <row r="944" ht="15.75" customHeight="1" s="94"/>
    <row r="945" ht="15.75" customHeight="1" s="94"/>
    <row r="946" ht="15.75" customHeight="1" s="94"/>
    <row r="947" ht="15.75" customHeight="1" s="94"/>
    <row r="948" ht="15.75" customHeight="1" s="94"/>
    <row r="949" ht="15.75" customHeight="1" s="94"/>
    <row r="950" ht="15.75" customHeight="1" s="94"/>
    <row r="951" ht="15.75" customHeight="1" s="94"/>
    <row r="952" ht="15.75" customHeight="1" s="94"/>
    <row r="953" ht="15.75" customHeight="1" s="94"/>
    <row r="954" ht="15.75" customHeight="1" s="94"/>
    <row r="955" ht="15.75" customHeight="1" s="94"/>
    <row r="956" ht="15.75" customHeight="1" s="94"/>
    <row r="957" ht="15.75" customHeight="1" s="94"/>
    <row r="958" ht="15.75" customHeight="1" s="94"/>
    <row r="959" ht="15.75" customHeight="1" s="94"/>
    <row r="960" ht="15.75" customHeight="1" s="94"/>
    <row r="961" ht="15.75" customHeight="1" s="94"/>
    <row r="962" ht="15.75" customHeight="1" s="94"/>
    <row r="963" ht="15.75" customHeight="1" s="94"/>
    <row r="964" ht="15.75" customHeight="1" s="94"/>
    <row r="965" ht="15.75" customHeight="1" s="94"/>
    <row r="966" ht="15.75" customHeight="1" s="94"/>
    <row r="967" ht="15.75" customHeight="1" s="94"/>
    <row r="968" ht="15.75" customHeight="1" s="94"/>
    <row r="969" ht="15.75" customHeight="1" s="94"/>
    <row r="970" ht="15.75" customHeight="1" s="94"/>
    <row r="971" ht="15.75" customHeight="1" s="94"/>
    <row r="972" ht="15.75" customHeight="1" s="94"/>
    <row r="973" ht="15.75" customHeight="1" s="94"/>
    <row r="974" ht="15.75" customHeight="1" s="94"/>
    <row r="975" ht="15.75" customHeight="1" s="94"/>
    <row r="976" ht="15.75" customHeight="1" s="94"/>
    <row r="977" ht="15.75" customHeight="1" s="94"/>
    <row r="978" ht="15.75" customHeight="1" s="94"/>
    <row r="979" ht="15.75" customHeight="1" s="94"/>
    <row r="980" ht="15.75" customHeight="1" s="94"/>
    <row r="981" ht="15.75" customHeight="1" s="94"/>
    <row r="982" ht="15.75" customHeight="1" s="94"/>
    <row r="983" ht="15.75" customHeight="1" s="94"/>
    <row r="984" ht="15.75" customHeight="1" s="94"/>
    <row r="985" ht="15.75" customHeight="1" s="94"/>
    <row r="986" ht="15.75" customHeight="1" s="94"/>
    <row r="987" ht="15.75" customHeight="1" s="94"/>
    <row r="988" ht="15.75" customHeight="1" s="94"/>
    <row r="989" ht="15.75" customHeight="1" s="94"/>
    <row r="990" ht="15.75" customHeight="1" s="94"/>
    <row r="991" ht="15.75" customHeight="1" s="94"/>
    <row r="992" ht="15.75" customHeight="1" s="94"/>
    <row r="993" ht="15.75" customHeight="1" s="94"/>
    <row r="994" ht="15.75" customHeight="1" s="94"/>
    <row r="995" ht="15.75" customHeight="1" s="94"/>
    <row r="996" ht="15.75" customHeight="1" s="94"/>
    <row r="997" ht="15.75" customHeight="1" s="94"/>
    <row r="998" ht="15.75" customHeight="1" s="94"/>
    <row r="999" ht="15.75" customHeight="1" s="94"/>
    <row r="1000" ht="15.75" customHeight="1" s="94"/>
  </sheetData>
  <conditionalFormatting sqref="K2:K7">
    <cfRule type="cellIs" priority="1" operator="greaterThan" dxfId="0">
      <formula>1</formula>
    </cfRule>
    <cfRule type="cellIs" priority="2" operator="greaterThan" dxfId="1">
      <formula>0.3</formula>
    </cfRule>
    <cfRule type="cellIs" priority="3" operator="lessThan" dxfId="2">
      <formula>0</formula>
    </cfRule>
    <cfRule type="cellIs" priority="4" operator="greaterThan" dxfId="3" stopIfTrue="1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2026-03-23T21:45:20Z</dcterms:created>
  <dcterms:modified xmlns:dcterms="http://purl.org/dc/terms/" xmlns:xsi="http://www.w3.org/2001/XMLSchema-instance" xsi:type="dcterms:W3CDTF">2026-03-23T21:45:20Z</dcterms:modified>
</cp:coreProperties>
</file>